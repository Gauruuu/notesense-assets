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Ex3.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Ex4.xml" ContentType="application/vnd.ms-office.chartex+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Ex5.xml" ContentType="application/vnd.ms-office.chartex+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5.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Ex6.xml" ContentType="application/vnd.ms-office.chartex+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harts/chart6.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xml"/>
  <Override PartName="/xl/charts/chart8.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gaura\Downloads\"/>
    </mc:Choice>
  </mc:AlternateContent>
  <xr:revisionPtr revIDLastSave="0" documentId="8_{1BFC2569-7877-4A4C-BD64-8122A76A809D}" xr6:coauthVersionLast="47" xr6:coauthVersionMax="47" xr10:uidLastSave="{00000000-0000-0000-0000-000000000000}"/>
  <workbookProtection workbookAlgorithmName="SHA-512" workbookHashValue="9dapQWm9IzvYwVF7lbGlxkWA4oW5giY0ZyV6Yvghu4Nu6XqiCje0kNIrCS5mjmyf3R5OQs0w3Hg42alHvqaObg==" workbookSaltValue="z0WaVQs5Pt0nyCBEK4uqHw==" workbookSpinCount="100000" lockStructure="1"/>
  <bookViews>
    <workbookView xWindow="-108" yWindow="-108" windowWidth="23256" windowHeight="13176" xr2:uid="{DDCD2143-2D73-4341-8801-D808D599E54B}"/>
  </bookViews>
  <sheets>
    <sheet name="Slip 1" sheetId="1" r:id="rId1"/>
    <sheet name="Slip 2" sheetId="2" r:id="rId2"/>
    <sheet name="Slip 3" sheetId="4" r:id="rId3"/>
    <sheet name="Slip 4" sheetId="5" r:id="rId4"/>
    <sheet name="Slip 5" sheetId="6" r:id="rId5"/>
    <sheet name="Slip 6" sheetId="7" r:id="rId6"/>
    <sheet name="Slip 7" sheetId="8" r:id="rId7"/>
    <sheet name="Slip 8" sheetId="9" r:id="rId8"/>
    <sheet name="Slip 9" sheetId="10" r:id="rId9"/>
    <sheet name="Slip 10" sheetId="11" r:id="rId10"/>
    <sheet name="Slip 11" sheetId="12" r:id="rId11"/>
    <sheet name="Slip 12" sheetId="13" r:id="rId12"/>
    <sheet name="Slip 13" sheetId="14" r:id="rId13"/>
    <sheet name="Slip 14" sheetId="15" r:id="rId14"/>
    <sheet name="Slip 15" sheetId="16" r:id="rId15"/>
    <sheet name="Slip 16" sheetId="17" r:id="rId16"/>
    <sheet name="Slip 17" sheetId="18" r:id="rId17"/>
    <sheet name="Slip 18" sheetId="19" r:id="rId18"/>
    <sheet name="Slip 19" sheetId="20" r:id="rId19"/>
    <sheet name="Slip 20" sheetId="21" r:id="rId20"/>
    <sheet name="Slip 21" sheetId="22" r:id="rId21"/>
    <sheet name="Slip 22" sheetId="23" r:id="rId22"/>
    <sheet name="Slip 23" sheetId="24" r:id="rId23"/>
    <sheet name="Slip 24" sheetId="25" r:id="rId24"/>
    <sheet name="Slip 25" sheetId="26" r:id="rId25"/>
    <sheet name="Slip 26" sheetId="27" r:id="rId26"/>
    <sheet name="Slip 27" sheetId="28" r:id="rId27"/>
    <sheet name="Slip 28" sheetId="29" r:id="rId28"/>
    <sheet name="Slip 29" sheetId="30" r:id="rId29"/>
    <sheet name="Slip 30" sheetId="31" r:id="rId30"/>
  </sheets>
  <definedNames>
    <definedName name="_xlnm._FilterDatabase" localSheetId="11" hidden="1">'Slip 12'!$B$21:$E$30</definedName>
    <definedName name="_xlchart.v1.0" hidden="1">'Slip 2'!$A$25:$A$34</definedName>
    <definedName name="_xlchart.v1.1" hidden="1">'Slip 2'!$A$26:$A$34</definedName>
    <definedName name="_xlchart.v1.2" hidden="1">'Slip 5'!$A$19:$A$28</definedName>
    <definedName name="_xlchart.v1.3" hidden="1">'Slip 6'!$A$23:$A$32</definedName>
    <definedName name="_xlchart.v1.4" hidden="1">'Slip 15'!$A$23:$A$32</definedName>
    <definedName name="_xlchart.v1.5" hidden="1">'Slip 21'!$A$26:$A$40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 i="31" l="1" a="1"/>
  <c r="C30" i="31" s="1"/>
  <c r="C29" i="31" a="1"/>
  <c r="C29" i="31" s="1"/>
  <c r="C28" i="31"/>
  <c r="C13" i="31"/>
  <c r="B13" i="31"/>
  <c r="C14" i="31"/>
  <c r="C15" i="31"/>
  <c r="C16" i="31"/>
  <c r="C17" i="31"/>
  <c r="B14" i="31"/>
  <c r="B15" i="31"/>
  <c r="B16" i="31"/>
  <c r="B17" i="31"/>
  <c r="B37" i="30" a="1"/>
  <c r="B37" i="30" s="1"/>
  <c r="C31" i="30" a="1"/>
  <c r="C31" i="30" s="1"/>
  <c r="C25" i="28" a="1"/>
  <c r="C25" i="28" s="1"/>
  <c r="E10" i="28"/>
  <c r="F10" i="28"/>
  <c r="F11" i="28"/>
  <c r="F12" i="28"/>
  <c r="F13" i="28"/>
  <c r="F14" i="28"/>
  <c r="F15" i="28"/>
  <c r="E15" i="28"/>
  <c r="E14" i="28"/>
  <c r="E13" i="28"/>
  <c r="E12" i="28"/>
  <c r="E11" i="28"/>
  <c r="C28" i="27" a="1"/>
  <c r="C28" i="27" s="1"/>
  <c r="C31" i="26" a="1"/>
  <c r="C31" i="26" s="1"/>
  <c r="H34" i="23"/>
  <c r="I34" i="23" s="1"/>
  <c r="H33" i="23"/>
  <c r="I33" i="23" s="1"/>
  <c r="H31" i="23"/>
  <c r="I31" i="23" s="1"/>
  <c r="H27" i="23"/>
  <c r="I27" i="23" s="1"/>
  <c r="H25" i="23"/>
  <c r="I25" i="23" s="1"/>
  <c r="H28" i="23"/>
  <c r="I28" i="23" s="1"/>
  <c r="J31" i="23" s="1"/>
  <c r="H26" i="23"/>
  <c r="I26" i="23" s="1"/>
  <c r="H30" i="23"/>
  <c r="I30" i="23" s="1"/>
  <c r="J25" i="23" s="1"/>
  <c r="H29" i="23"/>
  <c r="I29" i="23" s="1"/>
  <c r="J27" i="23" s="1"/>
  <c r="H32" i="23"/>
  <c r="I32" i="23" s="1"/>
  <c r="J26" i="23" s="1"/>
  <c r="E26" i="21"/>
  <c r="E25" i="21"/>
  <c r="E24" i="21"/>
  <c r="E23" i="21"/>
  <c r="E22" i="20"/>
  <c r="E21" i="20"/>
  <c r="E20" i="20"/>
  <c r="E19" i="20"/>
  <c r="C24" i="19" a="1"/>
  <c r="C24" i="19" s="1"/>
  <c r="C25" i="19" a="1"/>
  <c r="C25" i="19" s="1"/>
  <c r="C23" i="19" a="1"/>
  <c r="C23" i="19" s="1"/>
  <c r="C22" i="19" a="1"/>
  <c r="C22" i="19" s="1"/>
  <c r="C21" i="19"/>
  <c r="F4" i="19"/>
  <c r="E4" i="19" a="1"/>
  <c r="E4" i="19"/>
  <c r="F5" i="19"/>
  <c r="F6" i="19"/>
  <c r="F7" i="19"/>
  <c r="F8" i="19"/>
  <c r="F9" i="19"/>
  <c r="E5" i="19" a="1"/>
  <c r="E5" i="19" s="1"/>
  <c r="E6" i="19" a="1"/>
  <c r="E6" i="19"/>
  <c r="E7" i="19" a="1"/>
  <c r="E7" i="19"/>
  <c r="E8" i="19" a="1"/>
  <c r="E8" i="19"/>
  <c r="E9" i="19" a="1"/>
  <c r="E9" i="19"/>
  <c r="D32" i="18"/>
  <c r="D33" i="18" a="1"/>
  <c r="D33" i="18" s="1"/>
  <c r="D34" i="18" a="1"/>
  <c r="D34" i="18" s="1"/>
  <c r="B17" i="18"/>
  <c r="C18" i="18"/>
  <c r="C19" i="18"/>
  <c r="C20" i="18"/>
  <c r="C21" i="18"/>
  <c r="C17" i="18"/>
  <c r="B19" i="18"/>
  <c r="B20" i="18"/>
  <c r="B21" i="18"/>
  <c r="B18" i="18"/>
  <c r="F10" i="17"/>
  <c r="F11" i="17"/>
  <c r="F12" i="17"/>
  <c r="F13" i="17"/>
  <c r="F14" i="17"/>
  <c r="F15" i="17"/>
  <c r="F12" i="16" a="1"/>
  <c r="F12" i="16" s="1"/>
  <c r="F11" i="15"/>
  <c r="F12" i="15"/>
  <c r="F13" i="15"/>
  <c r="F14" i="15"/>
  <c r="F15" i="15"/>
  <c r="F16" i="15"/>
  <c r="H17" i="14"/>
  <c r="H16" i="14"/>
  <c r="A10" i="14"/>
  <c r="A9" i="14"/>
  <c r="F11" i="1"/>
  <c r="C11" i="13" a="1"/>
  <c r="C11" i="13"/>
  <c r="C15" i="13" a="1"/>
  <c r="C15" i="13"/>
  <c r="C12" i="13" a="1"/>
  <c r="C12" i="13"/>
  <c r="C13" i="13" a="1"/>
  <c r="C13" i="13"/>
  <c r="C14" i="13" a="1"/>
  <c r="C14" i="13" s="1"/>
  <c r="B16" i="13"/>
  <c r="E20" i="12"/>
  <c r="E19" i="12"/>
  <c r="E18" i="12"/>
  <c r="E17" i="12"/>
  <c r="A10" i="12"/>
  <c r="A11" i="12"/>
  <c r="L23" i="11"/>
  <c r="L24" i="11"/>
  <c r="L25" i="11"/>
  <c r="L26" i="11"/>
  <c r="L27" i="11"/>
  <c r="L28" i="11"/>
  <c r="L29" i="11"/>
  <c r="L30" i="11"/>
  <c r="L31" i="11"/>
  <c r="L22" i="11"/>
  <c r="K23" i="11"/>
  <c r="K24" i="11"/>
  <c r="K25" i="11"/>
  <c r="K26" i="11"/>
  <c r="K27" i="11"/>
  <c r="K28" i="11"/>
  <c r="K29" i="11"/>
  <c r="K30" i="11"/>
  <c r="K31" i="11"/>
  <c r="K22" i="11"/>
  <c r="J23" i="11"/>
  <c r="J24" i="11"/>
  <c r="J25" i="11"/>
  <c r="J26" i="11"/>
  <c r="J27" i="11"/>
  <c r="J28" i="11"/>
  <c r="J29" i="11"/>
  <c r="J30" i="11"/>
  <c r="J31" i="11"/>
  <c r="J22" i="11"/>
  <c r="I23" i="11"/>
  <c r="I24" i="11"/>
  <c r="I25" i="11"/>
  <c r="I26" i="11"/>
  <c r="I27" i="11"/>
  <c r="I28" i="11"/>
  <c r="I29" i="11"/>
  <c r="I30" i="11"/>
  <c r="I31" i="11"/>
  <c r="I22" i="11"/>
  <c r="A14" i="11"/>
  <c r="A13" i="11"/>
  <c r="E11" i="10" a="1"/>
  <c r="E11" i="10" s="1"/>
  <c r="L23" i="10"/>
  <c r="L24" i="10"/>
  <c r="L25" i="10"/>
  <c r="L26" i="10"/>
  <c r="L27" i="10"/>
  <c r="L28" i="10"/>
  <c r="L29" i="10"/>
  <c r="L30" i="10"/>
  <c r="L31" i="10"/>
  <c r="L22" i="10"/>
  <c r="K24" i="10"/>
  <c r="K25" i="10"/>
  <c r="K26" i="10"/>
  <c r="K27" i="10"/>
  <c r="K28" i="10"/>
  <c r="K29" i="10"/>
  <c r="K30" i="10"/>
  <c r="K31" i="10"/>
  <c r="K23" i="10"/>
  <c r="K22" i="10"/>
  <c r="J24" i="10"/>
  <c r="J25" i="10"/>
  <c r="J26" i="10"/>
  <c r="J27" i="10"/>
  <c r="J28" i="10"/>
  <c r="J29" i="10"/>
  <c r="J30" i="10"/>
  <c r="J31" i="10"/>
  <c r="J23" i="10"/>
  <c r="J22" i="10"/>
  <c r="I24" i="10"/>
  <c r="I25" i="10"/>
  <c r="I26" i="10"/>
  <c r="I27" i="10"/>
  <c r="I28" i="10"/>
  <c r="I29" i="10"/>
  <c r="I30" i="10"/>
  <c r="I31" i="10"/>
  <c r="I23" i="10"/>
  <c r="I22" i="10"/>
  <c r="E13" i="10" a="1"/>
  <c r="E13" i="10"/>
  <c r="E14" i="10" a="1"/>
  <c r="E14" i="10"/>
  <c r="E15" i="10" a="1"/>
  <c r="E15" i="10"/>
  <c r="E16" i="10" a="1"/>
  <c r="E16" i="10"/>
  <c r="E12" i="10" a="1"/>
  <c r="E12" i="10" s="1"/>
  <c r="E24" i="9"/>
  <c r="E23" i="9"/>
  <c r="E22" i="9"/>
  <c r="E21" i="9"/>
  <c r="A14" i="9"/>
  <c r="A13" i="9"/>
  <c r="C27" i="8"/>
  <c r="C26" i="8"/>
  <c r="C25" i="8"/>
  <c r="C24" i="8"/>
  <c r="C23" i="8"/>
  <c r="F11" i="7"/>
  <c r="F9" i="6"/>
  <c r="C29" i="5"/>
  <c r="C28" i="5"/>
  <c r="C27" i="5"/>
  <c r="C26" i="5"/>
  <c r="C25" i="5"/>
  <c r="F11" i="5"/>
  <c r="F10" i="5"/>
  <c r="B24" i="4" a="1"/>
  <c r="B24" i="4" s="1"/>
  <c r="B25" i="4" a="1"/>
  <c r="B25" i="4"/>
  <c r="B23" i="4" a="1"/>
  <c r="B23" i="4" s="1"/>
  <c r="E14" i="4"/>
  <c r="E13" i="4"/>
  <c r="E16" i="2"/>
  <c r="E15" i="2"/>
  <c r="J34" i="23" l="1"/>
  <c r="J33" i="23"/>
  <c r="J30" i="23"/>
  <c r="J29" i="23"/>
  <c r="J32" i="23"/>
  <c r="J28"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<sst xmlns="http://schemas.openxmlformats.org/spreadsheetml/2006/main" count="937" uniqueCount="521">
  <si>
    <t>Roll No. (A)</t>
  </si>
  <si>
    <t>Name (B)</t>
  </si>
  <si>
    <t>Score (C)</t>
  </si>
  <si>
    <t>Grade (D)</t>
  </si>
  <si>
    <t>Smaran</t>
  </si>
  <si>
    <t>Sameeksha</t>
  </si>
  <si>
    <t>Spandan</t>
  </si>
  <si>
    <t>Samarpan</t>
  </si>
  <si>
    <t>Sarthak</t>
  </si>
  <si>
    <t>Sankalp</t>
  </si>
  <si>
    <t>A</t>
  </si>
  <si>
    <t>B</t>
  </si>
  <si>
    <t>C</t>
  </si>
  <si>
    <t>D</t>
  </si>
  <si>
    <t>E</t>
  </si>
  <si>
    <t>F</t>
  </si>
  <si>
    <t>ANSWER</t>
  </si>
  <si>
    <t>FORMULA USED</t>
  </si>
  <si>
    <t>"=VLOOKUP(89, C2:C7, 2, FALSE)"</t>
  </si>
  <si>
    <t>NOTE: This question seems to be incorrect in slip that's why the answer is quite wrong!!</t>
  </si>
  <si>
    <t>Q1. Apply Vlookup function : Search Grade for score 89</t>
  </si>
  <si>
    <t>Q2 Create a Combo Chart using spreadsheet software with the following conditions</t>
  </si>
  <si>
    <t>Month</t>
  </si>
  <si>
    <t>Jan</t>
  </si>
  <si>
    <t>Feb</t>
  </si>
  <si>
    <t>Mar</t>
  </si>
  <si>
    <t>Apr</t>
  </si>
  <si>
    <t>Sales(Rs)</t>
  </si>
  <si>
    <t>Profit(%)</t>
  </si>
  <si>
    <t>STEPS</t>
  </si>
  <si>
    <t>1. Enter the Data</t>
  </si>
  <si>
    <t>2. Select the Data</t>
  </si>
  <si>
    <t>3. Go to Insert -&gt; Combo Charts -&gt; Create Custom Combo Charts</t>
  </si>
  <si>
    <r>
      <t xml:space="preserve">5. Profit(%): Select </t>
    </r>
    <r>
      <rPr>
        <b/>
        <sz val="11"/>
        <color theme="1"/>
        <rFont val="Aptos Narrow"/>
        <family val="2"/>
        <scheme val="minor"/>
      </rPr>
      <t>Line</t>
    </r>
    <r>
      <rPr>
        <sz val="11"/>
        <color theme="1"/>
        <rFont val="Aptos Narrow"/>
        <family val="2"/>
        <scheme val="minor"/>
      </rPr>
      <t xml:space="preserve"> and Check on </t>
    </r>
    <r>
      <rPr>
        <b/>
        <sz val="11"/>
        <color theme="1"/>
        <rFont val="Aptos Narrow"/>
        <family val="2"/>
        <scheme val="minor"/>
      </rPr>
      <t>Seconday Axis</t>
    </r>
  </si>
  <si>
    <r>
      <t xml:space="preserve">4. Sales(Rs): Select </t>
    </r>
    <r>
      <rPr>
        <b/>
        <sz val="11"/>
        <color theme="1"/>
        <rFont val="Aptos Narrow"/>
        <family val="2"/>
        <scheme val="minor"/>
      </rPr>
      <t>Clustered Column</t>
    </r>
  </si>
  <si>
    <t xml:space="preserve">Q1. Apply following text function (Apply on any text) </t>
  </si>
  <si>
    <t>CONCAT() and LEN()</t>
  </si>
  <si>
    <t>Roll No.</t>
  </si>
  <si>
    <t>First Name</t>
  </si>
  <si>
    <t>Address</t>
  </si>
  <si>
    <t>Shree</t>
  </si>
  <si>
    <t>Simran</t>
  </si>
  <si>
    <t>Shrikrishna</t>
  </si>
  <si>
    <t>Shripad</t>
  </si>
  <si>
    <t>Saurabh</t>
  </si>
  <si>
    <t>Samarth</t>
  </si>
  <si>
    <t>Pune</t>
  </si>
  <si>
    <t>Satara</t>
  </si>
  <si>
    <t>Nasik</t>
  </si>
  <si>
    <t>Mumbai</t>
  </si>
  <si>
    <t>Konkan</t>
  </si>
  <si>
    <t>Solapur</t>
  </si>
  <si>
    <t>"=CONCAT(B6, C6)"</t>
  </si>
  <si>
    <t>"=LEN(B7)"</t>
  </si>
  <si>
    <t xml:space="preserve">Q3. Following are the marks of students in Statistics. Create a Histogram to show frequency distribution of marks. Data (in Marks) : 32, 47, 59, 65, 73, 81, 66, 90, 55, 40 </t>
  </si>
  <si>
    <t>1. Enter Data</t>
  </si>
  <si>
    <t>2. Select Data</t>
  </si>
  <si>
    <t>3. Go to Insert -&gt; Charts -&gt; All Charts -&gt; Histogram</t>
  </si>
  <si>
    <t>4. Select Histogram hit enter</t>
  </si>
  <si>
    <t>SLIP 2</t>
  </si>
  <si>
    <t>SLIP 1</t>
  </si>
  <si>
    <t>1. Apply following text function (Apply on any text) : LEFT() and RIGHT()</t>
  </si>
  <si>
    <t>SLIP 3</t>
  </si>
  <si>
    <t xml:space="preserve">First Name </t>
  </si>
  <si>
    <t>Gopal</t>
  </si>
  <si>
    <t>Mohan</t>
  </si>
  <si>
    <t>Manohar</t>
  </si>
  <si>
    <t>Murali</t>
  </si>
  <si>
    <t>Meera</t>
  </si>
  <si>
    <t>Govind</t>
  </si>
  <si>
    <t>"=LEFT(B13, 3)"</t>
  </si>
  <si>
    <t>"=RIGHT(B14, 3)"</t>
  </si>
  <si>
    <t>2. Enter any five names in cells A1 to A5 Apply the MID() function as an array formula to extract the first three characters from each name. Enter the formula using Ctrl + Shift + Enter</t>
  </si>
  <si>
    <t>Amit</t>
  </si>
  <si>
    <t>Bhyankar</t>
  </si>
  <si>
    <t>Chetana</t>
  </si>
  <si>
    <t>Darling</t>
  </si>
  <si>
    <t>Emily</t>
  </si>
  <si>
    <t>"=MID(A24:A26, 2, 3)"</t>
  </si>
  <si>
    <t>1. Apply following text function (Apply on any text) : MID() and TRIM()</t>
  </si>
  <si>
    <t>Cell no.</t>
  </si>
  <si>
    <t xml:space="preserve">Roll No. </t>
  </si>
  <si>
    <t>Pune, Maharashtra</t>
  </si>
  <si>
    <t>Satara,      Maharashtra</t>
  </si>
  <si>
    <t>Nashik, Maharashtra</t>
  </si>
  <si>
    <t>Mumbai, Maharashtra</t>
  </si>
  <si>
    <t>Konkan, Maharashtra</t>
  </si>
  <si>
    <t>Solapur, Maharashtra</t>
  </si>
  <si>
    <t>Seeta</t>
  </si>
  <si>
    <t>Geeta</t>
  </si>
  <si>
    <t>Meeta</t>
  </si>
  <si>
    <t>Radha</t>
  </si>
  <si>
    <t>Radhika</t>
  </si>
  <si>
    <t>"=MID(C4, 2, 4)"</t>
  </si>
  <si>
    <t>"=TRIM(D5)"</t>
  </si>
  <si>
    <t>SLIP 4</t>
  </si>
  <si>
    <t>2. Use following data to Calculate Cube of Expenses .</t>
  </si>
  <si>
    <t>i. Enter the following numeric values representing monthly expenses in cells B1:B5</t>
  </si>
  <si>
    <t>ii. Use your Cube function to calculate cube of each expense value in column C (C1:C5)</t>
  </si>
  <si>
    <t>May</t>
  </si>
  <si>
    <t>Expenses  (₹)</t>
  </si>
  <si>
    <t>"=cell ^ 3"or "=POWER(cell, 3)"</t>
  </si>
  <si>
    <t>1. Apply Vlookup function on : Search Grade for score 56</t>
  </si>
  <si>
    <t>SLIP 5</t>
  </si>
  <si>
    <t>Roll no</t>
  </si>
  <si>
    <t>Name</t>
  </si>
  <si>
    <t>Score</t>
  </si>
  <si>
    <t>Grade</t>
  </si>
  <si>
    <t>Tukaram</t>
  </si>
  <si>
    <t>Sopan</t>
  </si>
  <si>
    <t>Nivruti</t>
  </si>
  <si>
    <t>Dnyaneshwar</t>
  </si>
  <si>
    <t>Muktai</t>
  </si>
  <si>
    <t>"=VLOOKUP(56, C9:D14, 2, TRUE)"</t>
  </si>
  <si>
    <t>NOTE: Arrange the score and grades in decending order for perfect answer</t>
  </si>
  <si>
    <t>2. Create a Histogram Chart using the following dataset which shows the marks obtained by students in English Marks Obtained : 28, 35, 42, 48, 55, 61, 67, 73, 80, 92</t>
  </si>
  <si>
    <t>SLIP 6</t>
  </si>
  <si>
    <t xml:space="preserve">1. Apply Vlookup function on : Search Grade for score 77 </t>
  </si>
  <si>
    <t>Roll No</t>
  </si>
  <si>
    <t>Ramya</t>
  </si>
  <si>
    <t>Satya</t>
  </si>
  <si>
    <t>Satyabhama</t>
  </si>
  <si>
    <t>Rajeshwari</t>
  </si>
  <si>
    <t>Satyapriya</t>
  </si>
  <si>
    <t>"=VLOOKUP(77, C11:D16, 2, TRUE)"</t>
  </si>
  <si>
    <t>2. Following are the marks of students in Statistics. Create a Waterfall Chart to show frequency distribution of marks Data (in Marks) : 32, 47, 59, 65, 73, 81, 66, 90, 55, 4</t>
  </si>
  <si>
    <t>3. Go to Insert -&gt; Charts -&gt; Waterfall Chart</t>
  </si>
  <si>
    <t>4. Select Waterfall chart hit enter</t>
  </si>
  <si>
    <t xml:space="preserve">1. Apply the following formatting to the table : </t>
  </si>
  <si>
    <t>i. Bold all the column headings (Student Name, Number of Days Present, Total Days).</t>
  </si>
  <si>
    <t>ii. Center-align all the data in the table.</t>
  </si>
  <si>
    <t>iii. Increase the font size of all cells to 14.</t>
  </si>
  <si>
    <t>iv. Apply borders to the entire table.</t>
  </si>
  <si>
    <t>v. Change the background color of the column headings to any color of your choice.</t>
  </si>
  <si>
    <t>Student Name</t>
  </si>
  <si>
    <t>Number of Days Present</t>
  </si>
  <si>
    <t>Total Days</t>
  </si>
  <si>
    <t>Aarav Sharma</t>
  </si>
  <si>
    <t>Bhavya Patil</t>
  </si>
  <si>
    <t>Chirag Deshmukh</t>
  </si>
  <si>
    <t>Divya Kulkarni</t>
  </si>
  <si>
    <t>Esha More</t>
  </si>
  <si>
    <t>NOTE: THIS QUESTION IS ONE OF THE EASIEST QUESTION, IF YOU NEED STEPS TO SOLVE THIS….. GO DIE</t>
  </si>
  <si>
    <t>Use following data to Calculate Cube of Expenses</t>
  </si>
  <si>
    <t>ii. Use your Cube function to calculate the cube of each expense value in new column C (C1:C5)</t>
  </si>
  <si>
    <t xml:space="preserve">Month </t>
  </si>
  <si>
    <t>Expenses</t>
  </si>
  <si>
    <t>Cube</t>
  </si>
  <si>
    <t xml:space="preserve">1. Find output for the following functions : TODAY() and NOW() </t>
  </si>
  <si>
    <t>"=TODAY()"</t>
  </si>
  <si>
    <t>"=NOW()"</t>
  </si>
  <si>
    <t xml:space="preserve">2. Generate a table with 10 records of employee with fields emp_id, name, and Salary apply following Statistical functions (Apply on any column) </t>
  </si>
  <si>
    <t>AVERAGE(), MAX(), MIN(), COUNT()</t>
  </si>
  <si>
    <t>emp_id</t>
  </si>
  <si>
    <t>Salary</t>
  </si>
  <si>
    <t>E01</t>
  </si>
  <si>
    <t>E02</t>
  </si>
  <si>
    <t>E03</t>
  </si>
  <si>
    <t>E04</t>
  </si>
  <si>
    <t>E05</t>
  </si>
  <si>
    <t>E06</t>
  </si>
  <si>
    <t>E07</t>
  </si>
  <si>
    <t>E08</t>
  </si>
  <si>
    <t>E09</t>
  </si>
  <si>
    <t>E10</t>
  </si>
  <si>
    <t>Harry Potter</t>
  </si>
  <si>
    <t>Ronnie Weasly</t>
  </si>
  <si>
    <t>Hermoine Granger</t>
  </si>
  <si>
    <t>Luna Lovegood</t>
  </si>
  <si>
    <t>Neivele Longbottom</t>
  </si>
  <si>
    <t>Ginne Weasly</t>
  </si>
  <si>
    <t>Draco Malfoy</t>
  </si>
  <si>
    <t>Cho Chang</t>
  </si>
  <si>
    <t>Parvati Patil</t>
  </si>
  <si>
    <t>Cedric Diggory</t>
  </si>
  <si>
    <t>"=AVERAGE(C12:C21)"</t>
  </si>
  <si>
    <t>"=MAX(C12:C21)"</t>
  </si>
  <si>
    <t>"=MIN(C12:C21)"</t>
  </si>
  <si>
    <t>"=COUNT(C12:C21)"</t>
  </si>
  <si>
    <t>SLIP 9</t>
  </si>
  <si>
    <t>1. Apply logical function (Apply on any column) : IF() and IFS()</t>
  </si>
  <si>
    <t>2. Generate a table with 10 records of students with fields roll_no, name, marks of five different subjects and calculate total marks. Apply following Mathematical functions (Apply on any column) : SUM(), PRODUCT(), ROUND(), POWER().</t>
  </si>
  <si>
    <t>roll_no</t>
  </si>
  <si>
    <t>DSA</t>
  </si>
  <si>
    <t>DBMS</t>
  </si>
  <si>
    <t>Python</t>
  </si>
  <si>
    <t>C++</t>
  </si>
  <si>
    <t>Jane Hopper</t>
  </si>
  <si>
    <t>Will Byers</t>
  </si>
  <si>
    <t>Mike Wheeler</t>
  </si>
  <si>
    <t>Jonathan Byers</t>
  </si>
  <si>
    <t>Nancy Wheeler</t>
  </si>
  <si>
    <t>Dustin Henderson</t>
  </si>
  <si>
    <t>Steve Harrington</t>
  </si>
  <si>
    <t>Max Mayfield</t>
  </si>
  <si>
    <t>Lucas Sinclair</t>
  </si>
  <si>
    <t>Henry Creel</t>
  </si>
  <si>
    <t>SUM</t>
  </si>
  <si>
    <t>PRODUCT</t>
  </si>
  <si>
    <t>ROUND</t>
  </si>
  <si>
    <t>POWER</t>
  </si>
  <si>
    <t>"=IFS(C11&gt;=90,"A", C11&gt;=80,"B", C11&gt;=70,"C", C11&gt;=60,"D", C11&gt;=50,"E", C11&lt;50,"F")"</t>
  </si>
  <si>
    <t>AVERAGE</t>
  </si>
  <si>
    <t>MIN</t>
  </si>
  <si>
    <t>MAX</t>
  </si>
  <si>
    <t>COUNT</t>
  </si>
  <si>
    <t>SLIP 10</t>
  </si>
  <si>
    <t>FORUMULA USED</t>
  </si>
  <si>
    <t>"=AVERAGE(C22:G22)"</t>
  </si>
  <si>
    <t>"=MAX(C22:G22)"</t>
  </si>
  <si>
    <t>"=MIN(C22:G22)"</t>
  </si>
  <si>
    <t>"=COUNT(C22:G22)"</t>
  </si>
  <si>
    <t>SLIP 11</t>
  </si>
  <si>
    <t xml:space="preserve">1. Find output for the following functions : TIME() and NOW() </t>
  </si>
  <si>
    <t>Generate a table with 10 records of employee with fields emp_id, name, and Salary</t>
  </si>
  <si>
    <t>TIME(01, 02, 04)'</t>
  </si>
  <si>
    <t>NOW()'</t>
  </si>
  <si>
    <t>SUM(D17:D26)'</t>
  </si>
  <si>
    <t>PRODUCT(B17:B26)'</t>
  </si>
  <si>
    <t>ROUND(D22, 0)'</t>
  </si>
  <si>
    <t>POWER(B20, 2)'</t>
  </si>
  <si>
    <t>SLIP 12</t>
  </si>
  <si>
    <t>1. Apply an array formula to multiply each value in column A with the corresponding value in column B and then calculate the sum of the resulting products. Enter the formula using Ctrl + Shift + Enter.</t>
  </si>
  <si>
    <t>A (quantity)</t>
  </si>
  <si>
    <t>B (Price)</t>
  </si>
  <si>
    <t>Total</t>
  </si>
  <si>
    <t>Multiplication</t>
  </si>
  <si>
    <t>"=A11:A15*B11:B15"</t>
  </si>
  <si>
    <t>Percentage</t>
  </si>
  <si>
    <t>Attendance percentage</t>
  </si>
  <si>
    <t>STEP USED</t>
  </si>
  <si>
    <t>1. Prepare Your Data</t>
  </si>
  <si>
    <t>Before performing operations, ensure your data is formatted correctly:</t>
  </si>
  <si>
    <t>2. Sort by Percentage (High to Low)</t>
  </si>
  <si>
    <t>4. In the popup window:</t>
  </si>
  <si>
    <t>3. Apply Filter for Low Attendance (&lt; 75%)</t>
  </si>
  <si>
    <r>
      <t>Headers:</t>
    </r>
    <r>
      <rPr>
        <sz val="11"/>
        <color theme="1"/>
        <rFont val="Aptos Narrow"/>
        <family val="2"/>
        <scheme val="minor"/>
      </rPr>
      <t xml:space="preserve"> Bold the top row (</t>
    </r>
    <r>
      <rPr>
        <b/>
        <sz val="11"/>
        <color theme="1"/>
        <rFont val="Aptos Narrow"/>
        <family val="2"/>
        <scheme val="minor"/>
      </rPr>
      <t>A1:D1</t>
    </r>
    <r>
      <rPr>
        <sz val="11"/>
        <color theme="1"/>
        <rFont val="Aptos Narrow"/>
        <family val="2"/>
        <scheme val="minor"/>
      </rPr>
      <t>) to distinguish it from the data.</t>
    </r>
  </si>
  <si>
    <r>
      <t>Formatting:</t>
    </r>
    <r>
      <rPr>
        <sz val="11"/>
        <color theme="1"/>
        <rFont val="Aptos Narrow"/>
        <family val="2"/>
        <scheme val="minor"/>
      </rPr>
      <t xml:space="preserve"> Select your </t>
    </r>
    <r>
      <rPr>
        <b/>
        <sz val="11"/>
        <color theme="1"/>
        <rFont val="Aptos Narrow"/>
        <family val="2"/>
        <scheme val="minor"/>
      </rPr>
      <t>Percentage</t>
    </r>
    <r>
      <rPr>
        <sz val="11"/>
        <color theme="1"/>
        <rFont val="Aptos Narrow"/>
        <family val="2"/>
        <scheme val="minor"/>
      </rPr>
      <t xml:space="preserve"> and </t>
    </r>
    <r>
      <rPr>
        <b/>
        <sz val="11"/>
        <color theme="1"/>
        <rFont val="Aptos Narrow"/>
        <family val="2"/>
        <scheme val="minor"/>
      </rPr>
      <t>Attendance</t>
    </r>
    <r>
      <rPr>
        <sz val="11"/>
        <color theme="1"/>
        <rFont val="Aptos Narrow"/>
        <family val="2"/>
        <scheme val="minor"/>
      </rPr>
      <t xml:space="preserve"> columns and click the </t>
    </r>
    <r>
      <rPr>
        <b/>
        <sz val="11"/>
        <color theme="1"/>
        <rFont val="Aptos Narrow"/>
        <family val="2"/>
        <scheme val="minor"/>
      </rPr>
      <t>%</t>
    </r>
    <r>
      <rPr>
        <sz val="11"/>
        <color theme="1"/>
        <rFont val="Aptos Narrow"/>
        <family val="2"/>
        <scheme val="minor"/>
      </rPr>
      <t xml:space="preserve"> icon in the </t>
    </r>
    <r>
      <rPr>
        <b/>
        <sz val="11"/>
        <color theme="1"/>
        <rFont val="Aptos Narrow"/>
        <family val="2"/>
        <scheme val="minor"/>
      </rPr>
      <t>Home</t>
    </r>
    <r>
      <rPr>
        <sz val="11"/>
        <color theme="1"/>
        <rFont val="Aptos Narrow"/>
        <family val="2"/>
        <scheme val="minor"/>
      </rPr>
      <t xml:space="preserve"> tab (Number group) to ensure Excel treats them as numerical percentages.</t>
    </r>
  </si>
  <si>
    <r>
      <t xml:space="preserve">1. Click anywhere inside your data table (e.g., cell </t>
    </r>
    <r>
      <rPr>
        <b/>
        <sz val="11"/>
        <color theme="1"/>
        <rFont val="Aptos Narrow"/>
        <family val="2"/>
        <scheme val="minor"/>
      </rPr>
      <t>A2</t>
    </r>
    <r>
      <rPr>
        <sz val="11"/>
        <color theme="1"/>
        <rFont val="Aptos Narrow"/>
        <family val="2"/>
        <scheme val="minor"/>
      </rPr>
      <t>).</t>
    </r>
  </si>
  <si>
    <r>
      <t xml:space="preserve">2. Go to the </t>
    </r>
    <r>
      <rPr>
        <b/>
        <sz val="11"/>
        <color theme="1"/>
        <rFont val="Aptos Narrow"/>
        <family val="2"/>
        <scheme val="minor"/>
      </rPr>
      <t>Data</t>
    </r>
    <r>
      <rPr>
        <sz val="11"/>
        <color theme="1"/>
        <rFont val="Aptos Narrow"/>
        <family val="2"/>
        <scheme val="minor"/>
      </rPr>
      <t xml:space="preserve"> tab on the top Ribbon.</t>
    </r>
  </si>
  <si>
    <r>
      <t xml:space="preserve">3. Click the </t>
    </r>
    <r>
      <rPr>
        <b/>
        <sz val="11"/>
        <color theme="1"/>
        <rFont val="Aptos Narrow"/>
        <family val="2"/>
        <scheme val="minor"/>
      </rPr>
      <t>Sort</t>
    </r>
    <r>
      <rPr>
        <sz val="11"/>
        <color theme="1"/>
        <rFont val="Aptos Narrow"/>
        <family val="2"/>
        <scheme val="minor"/>
      </rPr>
      <t xml:space="preserve"> button (the large icon).</t>
    </r>
  </si>
  <si>
    <r>
      <t xml:space="preserve">Ensure </t>
    </r>
    <r>
      <rPr>
        <b/>
        <sz val="11"/>
        <color theme="1"/>
        <rFont val="Aptos Narrow"/>
        <family val="2"/>
        <scheme val="minor"/>
      </rPr>
      <t>"My data has headers"</t>
    </r>
    <r>
      <rPr>
        <sz val="11"/>
        <color theme="1"/>
        <rFont val="Aptos Narrow"/>
        <family val="2"/>
        <scheme val="minor"/>
      </rPr>
      <t xml:space="preserve"> is checked.</t>
    </r>
  </si>
  <si>
    <r>
      <t>Column:</t>
    </r>
    <r>
      <rPr>
        <sz val="11"/>
        <color theme="1"/>
        <rFont val="Aptos Narrow"/>
        <family val="2"/>
        <scheme val="minor"/>
      </rPr>
      <t xml:space="preserve"> Select </t>
    </r>
    <r>
      <rPr>
        <sz val="10"/>
        <color theme="1"/>
        <rFont val="Arial Unicode MS"/>
      </rPr>
      <t>Percentage</t>
    </r>
    <r>
      <rPr>
        <sz val="11"/>
        <color theme="1"/>
        <rFont val="Aptos Narrow"/>
        <family val="2"/>
        <scheme val="minor"/>
      </rPr>
      <t>.</t>
    </r>
  </si>
  <si>
    <r>
      <t>Sort On:</t>
    </r>
    <r>
      <rPr>
        <sz val="11"/>
        <color theme="1"/>
        <rFont val="Aptos Narrow"/>
        <family val="2"/>
        <scheme val="minor"/>
      </rPr>
      <t xml:space="preserve"> Cell Values.</t>
    </r>
  </si>
  <si>
    <r>
      <t>Order:</t>
    </r>
    <r>
      <rPr>
        <sz val="11"/>
        <color theme="1"/>
        <rFont val="Aptos Narrow"/>
        <family val="2"/>
        <scheme val="minor"/>
      </rPr>
      <t xml:space="preserve"> Select </t>
    </r>
    <r>
      <rPr>
        <sz val="10"/>
        <color theme="1"/>
        <rFont val="Arial Unicode MS"/>
      </rPr>
      <t>Largest to Smallest</t>
    </r>
    <r>
      <rPr>
        <sz val="11"/>
        <color theme="1"/>
        <rFont val="Aptos Narrow"/>
        <family val="2"/>
        <scheme val="minor"/>
      </rPr>
      <t>.</t>
    </r>
  </si>
  <si>
    <r>
      <t xml:space="preserve">5. Click </t>
    </r>
    <r>
      <rPr>
        <b/>
        <sz val="11"/>
        <color theme="1"/>
        <rFont val="Aptos Narrow"/>
        <family val="2"/>
        <scheme val="minor"/>
      </rPr>
      <t>OK</t>
    </r>
    <r>
      <rPr>
        <sz val="11"/>
        <color theme="1"/>
        <rFont val="Aptos Narrow"/>
        <family val="2"/>
        <scheme val="minor"/>
      </rPr>
      <t>. Your list will now show the highest-scoring students at the top.</t>
    </r>
  </si>
  <si>
    <r>
      <t>1. Highlight your header row (</t>
    </r>
    <r>
      <rPr>
        <b/>
        <sz val="11"/>
        <color theme="1"/>
        <rFont val="Aptos Narrow"/>
        <family val="2"/>
        <scheme val="minor"/>
      </rPr>
      <t>A1:D1</t>
    </r>
    <r>
      <rPr>
        <sz val="11"/>
        <color theme="1"/>
        <rFont val="Aptos Narrow"/>
        <family val="2"/>
        <scheme val="minor"/>
      </rPr>
      <t>).</t>
    </r>
  </si>
  <si>
    <r>
      <t xml:space="preserve">2. In the </t>
    </r>
    <r>
      <rPr>
        <b/>
        <sz val="11"/>
        <color theme="1"/>
        <rFont val="Aptos Narrow"/>
        <family val="2"/>
        <scheme val="minor"/>
      </rPr>
      <t>Data</t>
    </r>
    <r>
      <rPr>
        <sz val="11"/>
        <color theme="1"/>
        <rFont val="Aptos Narrow"/>
        <family val="2"/>
        <scheme val="minor"/>
      </rPr>
      <t xml:space="preserve"> tab, click the </t>
    </r>
    <r>
      <rPr>
        <b/>
        <sz val="11"/>
        <color theme="1"/>
        <rFont val="Aptos Narrow"/>
        <family val="2"/>
        <scheme val="minor"/>
      </rPr>
      <t>Filter</t>
    </r>
    <r>
      <rPr>
        <sz val="11"/>
        <color theme="1"/>
        <rFont val="Aptos Narrow"/>
        <family val="2"/>
        <scheme val="minor"/>
      </rPr>
      <t xml:space="preserve"> button (it looks like a funnel). You will see small dropdown arrows appear on each header.</t>
    </r>
  </si>
  <si>
    <r>
      <t xml:space="preserve">3. Click the </t>
    </r>
    <r>
      <rPr>
        <b/>
        <sz val="11"/>
        <color theme="1"/>
        <rFont val="Aptos Narrow"/>
        <family val="2"/>
        <scheme val="minor"/>
      </rPr>
      <t>dropdown arrow</t>
    </r>
    <r>
      <rPr>
        <sz val="11"/>
        <color theme="1"/>
        <rFont val="Aptos Narrow"/>
        <family val="2"/>
        <scheme val="minor"/>
      </rPr>
      <t xml:space="preserve"> next to the </t>
    </r>
    <r>
      <rPr>
        <b/>
        <sz val="11"/>
        <color theme="1"/>
        <rFont val="Aptos Narrow"/>
        <family val="2"/>
        <scheme val="minor"/>
      </rPr>
      <t>Attendance</t>
    </r>
    <r>
      <rPr>
        <sz val="11"/>
        <color theme="1"/>
        <rFont val="Aptos Narrow"/>
        <family val="2"/>
        <scheme val="minor"/>
      </rPr>
      <t xml:space="preserve"> header.</t>
    </r>
  </si>
  <si>
    <r>
      <t xml:space="preserve">4. Hover over </t>
    </r>
    <r>
      <rPr>
        <b/>
        <sz val="11"/>
        <color theme="1"/>
        <rFont val="Aptos Narrow"/>
        <family val="2"/>
        <scheme val="minor"/>
      </rPr>
      <t>Number Filters</t>
    </r>
    <r>
      <rPr>
        <sz val="11"/>
        <color theme="1"/>
        <rFont val="Aptos Narrow"/>
        <family val="2"/>
        <scheme val="minor"/>
      </rPr>
      <t xml:space="preserve"> and select </t>
    </r>
    <r>
      <rPr>
        <b/>
        <sz val="11"/>
        <color theme="1"/>
        <rFont val="Aptos Narrow"/>
        <family val="2"/>
        <scheme val="minor"/>
      </rPr>
      <t>Less Than...</t>
    </r>
  </si>
  <si>
    <r>
      <t xml:space="preserve">5. In the box next to "is less than", type </t>
    </r>
    <r>
      <rPr>
        <b/>
        <sz val="11"/>
        <color theme="1"/>
        <rFont val="Aptos Narrow"/>
        <family val="2"/>
        <scheme val="minor"/>
      </rPr>
      <t>0.75</t>
    </r>
    <r>
      <rPr>
        <sz val="11"/>
        <color theme="1"/>
        <rFont val="Aptos Narrow"/>
        <family val="2"/>
        <scheme val="minor"/>
      </rPr>
      <t xml:space="preserve"> (or </t>
    </r>
    <r>
      <rPr>
        <b/>
        <sz val="11"/>
        <color theme="1"/>
        <rFont val="Aptos Narrow"/>
        <family val="2"/>
        <scheme val="minor"/>
      </rPr>
      <t>75%</t>
    </r>
    <r>
      <rPr>
        <sz val="11"/>
        <color theme="1"/>
        <rFont val="Aptos Narrow"/>
        <family val="2"/>
        <scheme val="minor"/>
      </rPr>
      <t xml:space="preserve"> depending on how you entered your data).</t>
    </r>
  </si>
  <si>
    <r>
      <t xml:space="preserve">6. Click </t>
    </r>
    <r>
      <rPr>
        <b/>
        <sz val="11"/>
        <color theme="1"/>
        <rFont val="Aptos Narrow"/>
        <family val="2"/>
        <scheme val="minor"/>
      </rPr>
      <t>OK</t>
    </r>
    <r>
      <rPr>
        <sz val="11"/>
        <color theme="1"/>
        <rFont val="Aptos Narrow"/>
        <family val="2"/>
        <scheme val="minor"/>
      </rPr>
      <t>.</t>
    </r>
  </si>
  <si>
    <t>SLIP 13</t>
  </si>
  <si>
    <t xml:space="preserve"> Marks Obtained</t>
  </si>
  <si>
    <t xml:space="preserve">Total Marks </t>
  </si>
  <si>
    <t>Result</t>
  </si>
  <si>
    <t>Faiz Khan</t>
  </si>
  <si>
    <t>Pass</t>
  </si>
  <si>
    <t>Fail</t>
  </si>
  <si>
    <t>Count</t>
  </si>
  <si>
    <t>STEPS USED</t>
  </si>
  <si>
    <r>
      <t>Create a Summary Table:</t>
    </r>
    <r>
      <rPr>
        <sz val="11"/>
        <color theme="1"/>
        <rFont val="Aptos Narrow"/>
        <family val="2"/>
        <scheme val="minor"/>
      </rPr>
      <t xml:space="preserve"> Since a pie chart needs a total count, create a small table next to your data:</t>
    </r>
  </si>
  <si>
    <r>
      <t xml:space="preserve">Cell F1: </t>
    </r>
    <r>
      <rPr>
        <sz val="10"/>
        <color theme="1"/>
        <rFont val="Arial Unicode MS"/>
      </rPr>
      <t>Result</t>
    </r>
    <r>
      <rPr>
        <sz val="11"/>
        <color theme="1"/>
        <rFont val="Aptos Narrow"/>
        <family val="2"/>
        <scheme val="minor"/>
      </rPr>
      <t xml:space="preserve"> | Cell G1: </t>
    </r>
    <r>
      <rPr>
        <sz val="10"/>
        <color theme="1"/>
        <rFont val="Arial Unicode MS"/>
      </rPr>
      <t>Count</t>
    </r>
  </si>
  <si>
    <r>
      <t xml:space="preserve">Cell F2: </t>
    </r>
    <r>
      <rPr>
        <sz val="10"/>
        <color theme="1"/>
        <rFont val="Arial Unicode MS"/>
      </rPr>
      <t>Pass</t>
    </r>
    <r>
      <rPr>
        <sz val="11"/>
        <color theme="1"/>
        <rFont val="Aptos Narrow"/>
        <family val="2"/>
        <scheme val="minor"/>
      </rPr>
      <t xml:space="preserve"> | Cell G2: </t>
    </r>
    <r>
      <rPr>
        <sz val="10"/>
        <color theme="1"/>
        <rFont val="Arial Unicode MS"/>
      </rPr>
      <t>=COUNTIF(D2:D7, "Pass")</t>
    </r>
  </si>
  <si>
    <r>
      <t xml:space="preserve">Cell F3: </t>
    </r>
    <r>
      <rPr>
        <sz val="10"/>
        <color theme="1"/>
        <rFont val="Arial Unicode MS"/>
      </rPr>
      <t>Fail</t>
    </r>
    <r>
      <rPr>
        <sz val="11"/>
        <color theme="1"/>
        <rFont val="Aptos Narrow"/>
        <family val="2"/>
        <scheme val="minor"/>
      </rPr>
      <t xml:space="preserve"> | Cell G3: </t>
    </r>
    <r>
      <rPr>
        <sz val="10"/>
        <color theme="1"/>
        <rFont val="Arial Unicode MS"/>
      </rPr>
      <t>=COUNTIF(D2:D7, "Fail")</t>
    </r>
  </si>
  <si>
    <r>
      <t>Insert Chart:</t>
    </r>
    <r>
      <rPr>
        <sz val="11"/>
        <color theme="1"/>
        <rFont val="Aptos Narrow"/>
        <family val="2"/>
        <scheme val="minor"/>
      </rPr>
      <t xml:space="preserve"> Select your new summary table (</t>
    </r>
    <r>
      <rPr>
        <b/>
        <sz val="11"/>
        <color theme="1"/>
        <rFont val="Aptos Narrow"/>
        <family val="2"/>
        <scheme val="minor"/>
      </rPr>
      <t>F1:G3</t>
    </r>
    <r>
      <rPr>
        <sz val="11"/>
        <color theme="1"/>
        <rFont val="Aptos Narrow"/>
        <family val="2"/>
        <scheme val="minor"/>
      </rPr>
      <t>).</t>
    </r>
  </si>
  <si>
    <r>
      <t xml:space="preserve">Go to the </t>
    </r>
    <r>
      <rPr>
        <b/>
        <sz val="11"/>
        <color theme="1"/>
        <rFont val="Aptos Narrow"/>
        <family val="2"/>
        <scheme val="minor"/>
      </rPr>
      <t>Insert</t>
    </r>
    <r>
      <rPr>
        <sz val="11"/>
        <color theme="1"/>
        <rFont val="Aptos Narrow"/>
        <family val="2"/>
        <scheme val="minor"/>
      </rPr>
      <t xml:space="preserve"> tab, click the </t>
    </r>
    <r>
      <rPr>
        <b/>
        <sz val="11"/>
        <color theme="1"/>
        <rFont val="Aptos Narrow"/>
        <family val="2"/>
        <scheme val="minor"/>
      </rPr>
      <t>Pie Chart</t>
    </r>
    <r>
      <rPr>
        <sz val="11"/>
        <color theme="1"/>
        <rFont val="Aptos Narrow"/>
        <family val="2"/>
        <scheme val="minor"/>
      </rPr>
      <t xml:space="preserve"> icon, and select the first 2D Pie option.</t>
    </r>
  </si>
  <si>
    <t>FOR PIE CHART</t>
  </si>
  <si>
    <t>FOR  BAR CHART</t>
  </si>
  <si>
    <t>SELECT/HIGHLIGHT the marks obtained chart</t>
  </si>
  <si>
    <t>Go to Insert -&gt; Bar Chart -&gt; Select Bar Chart</t>
  </si>
  <si>
    <t>And voila, chart is created</t>
  </si>
  <si>
    <t>SLIP 14</t>
  </si>
  <si>
    <t>1. Apply logical function (Apply on any column) : IF() and AND()</t>
  </si>
  <si>
    <t>Roll no.</t>
  </si>
  <si>
    <t>Shyam</t>
  </si>
  <si>
    <t>Ram</t>
  </si>
  <si>
    <t>Hari</t>
  </si>
  <si>
    <t>Narayan</t>
  </si>
  <si>
    <t>Vishnu</t>
  </si>
  <si>
    <t>Om</t>
  </si>
  <si>
    <t>"=IF(AND(C11&gt;=50, D11&gt;=60), "Promoted", "Hold")"</t>
  </si>
  <si>
    <t>2. Create a Combo Chart using spreadsheet software with the following conditions:</t>
  </si>
  <si>
    <t>i) Sales should be represented using a Column Chart</t>
  </si>
  <si>
    <t>i) Profit should be represented using a Line Chart</t>
  </si>
  <si>
    <t>SLIP 15</t>
  </si>
  <si>
    <t>Brahma</t>
  </si>
  <si>
    <t>Bali</t>
  </si>
  <si>
    <t>Kali</t>
  </si>
  <si>
    <t>Yug</t>
  </si>
  <si>
    <t>Balaji</t>
  </si>
  <si>
    <t>1. Create a subject-wise student dataset. Extract students studying for Mathematics using Dynamic Array Functions.</t>
  </si>
  <si>
    <t>Ronald Weasly</t>
  </si>
  <si>
    <t>Hermoini Granger</t>
  </si>
  <si>
    <t>Nevile Longbottom</t>
  </si>
  <si>
    <t>Subject</t>
  </si>
  <si>
    <t>Mathematics</t>
  </si>
  <si>
    <t>Potions</t>
  </si>
  <si>
    <t>Defence Against Dark Arts</t>
  </si>
  <si>
    <t>Herbology</t>
  </si>
  <si>
    <t>"=FILTER(A11:D16, C11:C16="Mathematics", "NotFound")"</t>
  </si>
  <si>
    <t>2. The following dataset represents the marks obtained by students in Science. Draw a Histogram to represent the distribution of marks.</t>
  </si>
  <si>
    <t>SLIP 16</t>
  </si>
  <si>
    <t>1) Apply logical function (Apply on any column) : OR() and NOT()</t>
  </si>
  <si>
    <t>"=IF(OR(C10&gt;90, NOT(D10&lt;50)), "Qualified", "Review")"</t>
  </si>
  <si>
    <t>2. Create a Combo Chart using spreadsheet software with the following conditions :</t>
  </si>
  <si>
    <t>i. I ncome should be represented using a Column Chart</t>
  </si>
  <si>
    <t>ii. Growth should be represented using a Line Chart</t>
  </si>
  <si>
    <t>June</t>
  </si>
  <si>
    <t>July</t>
  </si>
  <si>
    <t>August</t>
  </si>
  <si>
    <t>Growth(%)</t>
  </si>
  <si>
    <t xml:space="preserve">Income (₹) </t>
  </si>
  <si>
    <t>1. Text Functions using Array Formula</t>
  </si>
  <si>
    <t>Enter five names in cells A1 to A5.</t>
  </si>
  <si>
    <t>ii. Extract the first three characters of each name using formula</t>
  </si>
  <si>
    <t>i. Calculate the total number of characters using formula</t>
  </si>
  <si>
    <t>Names</t>
  </si>
  <si>
    <t>Tanjiro Kamado</t>
  </si>
  <si>
    <t>Nezuko Kamado</t>
  </si>
  <si>
    <t>Shinobu Kocho</t>
  </si>
  <si>
    <t>Inosuke Hashibira</t>
  </si>
  <si>
    <t>Obanai Iguro</t>
  </si>
  <si>
    <t>"=LEN(text)"</t>
  </si>
  <si>
    <t>"=LEFT(text)"</t>
  </si>
  <si>
    <t>3. Multiply Two Columns Using an Array Formula</t>
  </si>
  <si>
    <t>i) Enter three numbers in Column A and three numbers in Column B</t>
  </si>
  <si>
    <t>ii) In Column C, calculate the product of Column A and Column B using an array formula.</t>
  </si>
  <si>
    <t>iii) Press Ctrl + Shift + Enter to apply the formula.</t>
  </si>
  <si>
    <t>iv) Label Column C as “Product”.</t>
  </si>
  <si>
    <t>Column A</t>
  </si>
  <si>
    <t>Column B</t>
  </si>
  <si>
    <t>Column C</t>
  </si>
  <si>
    <t>"=B23 * C23"</t>
  </si>
  <si>
    <t>"=B24 * C24"</t>
  </si>
  <si>
    <t>"=B25 * C25"</t>
  </si>
  <si>
    <t>SLIP 17</t>
  </si>
  <si>
    <t xml:space="preserve">1. Apply logical function (Apply on any column) : IFS() and OR() </t>
  </si>
  <si>
    <t>Ganesh</t>
  </si>
  <si>
    <t>Gajanan</t>
  </si>
  <si>
    <t>Ekdant</t>
  </si>
  <si>
    <t>Vinayak</t>
  </si>
  <si>
    <t>Lambodar</t>
  </si>
  <si>
    <t>Vakratund</t>
  </si>
  <si>
    <t>"=IFS(C4&gt;=80, "Excellant", C4&gt;=60, "Good", C4&gt;=50, "Fair", TRUE, "Poor")"</t>
  </si>
  <si>
    <t>"=IF(OR(D4&gt;=80, C4&gt;=80), "Eligible", "Not Eligible")"</t>
  </si>
  <si>
    <t>3) Multiply Two Columns Using an Array Formula</t>
  </si>
  <si>
    <t>i. Enter five numbers in Column A and five numbers in Column B.</t>
  </si>
  <si>
    <t>ii. In Column C, calculate the product of Column A and Column B using an array formula</t>
  </si>
  <si>
    <t>iii. Press Ctrl + Shift + Enter to apply the formula.</t>
  </si>
  <si>
    <t>iv. Label Column C as “Product”</t>
  </si>
  <si>
    <t>"=B21 * C21"</t>
  </si>
  <si>
    <t>"=B22 * C22"</t>
  </si>
  <si>
    <t>1. Write a macro to check whether the value in cell A1 is greater than 70 or not. Enter required data.</t>
  </si>
  <si>
    <t>Greater</t>
  </si>
  <si>
    <t>CODE</t>
  </si>
  <si>
    <t>Sub EasyCheck()</t>
  </si>
  <si>
    <t xml:space="preserve">    If Range("A2").Value &gt; 70 Then</t>
  </si>
  <si>
    <t xml:space="preserve">        Range("B2").Value = "Greater"</t>
  </si>
  <si>
    <t xml:space="preserve">    Else</t>
  </si>
  <si>
    <t xml:space="preserve">        Range("B2").Value = "Not Greater"</t>
  </si>
  <si>
    <t xml:space="preserve">    End If</t>
  </si>
  <si>
    <t>End Sub</t>
  </si>
  <si>
    <t>2. Apply following text function (Apply on any text)</t>
  </si>
  <si>
    <t>LEN(), MID(), LEFT() and RIGHT()</t>
  </si>
  <si>
    <t>Laxmi</t>
  </si>
  <si>
    <t>Tulasi</t>
  </si>
  <si>
    <t>Vishnupriya</t>
  </si>
  <si>
    <t>Krishnapriya</t>
  </si>
  <si>
    <t>Kamala</t>
  </si>
  <si>
    <t>Padmapriya</t>
  </si>
  <si>
    <t>Nashik</t>
  </si>
  <si>
    <t>ANSWERS</t>
  </si>
  <si>
    <t>"=LEN(B19)"</t>
  </si>
  <si>
    <t>"=MID(C20, 2, 4)"</t>
  </si>
  <si>
    <t>"=LEFT(B21, 6)"</t>
  </si>
  <si>
    <t>"=RIGHT(B22, 5)"</t>
  </si>
  <si>
    <t>SLIP 20</t>
  </si>
  <si>
    <t xml:space="preserve">1. Write a macro to display “Maximum number” if given number is greater than 90. Enter required data. </t>
  </si>
  <si>
    <t>SLIP 19</t>
  </si>
  <si>
    <t>Sub MaxNumCheck()</t>
  </si>
  <si>
    <t xml:space="preserve">    If Range("A8").Value &gt; 90 Then</t>
  </si>
  <si>
    <t xml:space="preserve">        MsgBox "Maximum than 90"</t>
  </si>
  <si>
    <t xml:space="preserve">        MsgBox "Not Maximum then 90"</t>
  </si>
  <si>
    <t>2. Apply following text function (Apply on any text) CONCAT(), MID(), TRIM() and LEN()</t>
  </si>
  <si>
    <t>"=CONCAT(B23, C23)"</t>
  </si>
  <si>
    <t>"=MID(B24, 3, 5)"</t>
  </si>
  <si>
    <t>Span   dan</t>
  </si>
  <si>
    <t>"=TRIM(B25)"</t>
  </si>
  <si>
    <t>"=LEN(B26)"</t>
  </si>
  <si>
    <t>SLIP 21</t>
  </si>
  <si>
    <t>1. Write a macro to check whether the value in cell A1 is greater than 70 or not.  Enter required data</t>
  </si>
  <si>
    <t>Sub greater_or_not()</t>
  </si>
  <si>
    <t xml:space="preserve">    If Range("A9").Value &gt; 70 Then</t>
  </si>
  <si>
    <t xml:space="preserve">        MsgBox "Greater than 70"</t>
  </si>
  <si>
    <t xml:space="preserve">        MsgBox "Less than 70"</t>
  </si>
  <si>
    <t>y sales</t>
  </si>
  <si>
    <t>2. The following data represents the daily sales (in units) of a retail store over 15 days. Draw a Histogram to show the frequency distribution of daily sales. Data (in Units Sold) : 120, 135, 142, 150, 165, 172, 180, 195, 210, 225, 240, 155, 168, 190, 205</t>
  </si>
  <si>
    <t>5.Right click on number in histogram</t>
  </si>
  <si>
    <r>
      <t>6. Select '</t>
    </r>
    <r>
      <rPr>
        <b/>
        <sz val="11"/>
        <color theme="1"/>
        <rFont val="Aptos Narrow"/>
        <family val="2"/>
        <scheme val="minor"/>
      </rPr>
      <t>Format Axis</t>
    </r>
    <r>
      <rPr>
        <sz val="11"/>
        <color theme="1"/>
        <rFont val="Aptos Narrow"/>
        <family val="2"/>
        <scheme val="minor"/>
      </rPr>
      <t xml:space="preserve">' and set </t>
    </r>
    <r>
      <rPr>
        <b/>
        <sz val="11"/>
        <color theme="1"/>
        <rFont val="Aptos Narrow"/>
        <family val="2"/>
        <scheme val="minor"/>
      </rPr>
      <t>Bin Width 10</t>
    </r>
  </si>
  <si>
    <t>SLIP 22</t>
  </si>
  <si>
    <t xml:space="preserve">1. Write a macro to display “Minimum number” if given number is smaller than 200.Enter required data. </t>
  </si>
  <si>
    <t>2. Create a student mark sheet in spreadsheet software with columns :</t>
  </si>
  <si>
    <t>i. Seat No, Name, marks of five subjects, Total, Percentage, and Grade.</t>
  </si>
  <si>
    <t>ii.Use formulas to calculate Total, Percentage, and Grade, and apply sorting based on Percentage (High to Low)</t>
  </si>
  <si>
    <t>SLIP 23</t>
  </si>
  <si>
    <t xml:space="preserve">1. Write a macro to display “Pass” if marks in A1 are ≥ 40 else display “Fail”. Enter required data. </t>
  </si>
  <si>
    <t>Sub passorfail()</t>
  </si>
  <si>
    <t xml:space="preserve">    If Range("A10").Value &gt;= 40 Then</t>
  </si>
  <si>
    <t xml:space="preserve">        MsgBox "Pass"</t>
  </si>
  <si>
    <t xml:space="preserve">        MsgBox "Fail"</t>
  </si>
  <si>
    <t xml:space="preserve">2. Create a Combo Chart for the following dataset : </t>
  </si>
  <si>
    <t>i. Represent Revenue (₹) using a Column Chart</t>
  </si>
  <si>
    <t>ii. Represent Customers using a Line Chart on the same graph.</t>
  </si>
  <si>
    <t>September</t>
  </si>
  <si>
    <t>Revenue (₹)</t>
  </si>
  <si>
    <t>Customer</t>
  </si>
  <si>
    <t>SLIP 24</t>
  </si>
  <si>
    <t>Q1. Write a macro to display numbers from 30 to 1 using FOR loop</t>
  </si>
  <si>
    <t>Sub count</t>
  </si>
  <si>
    <t>Dim i as Integer</t>
  </si>
  <si>
    <t xml:space="preserve">               MsgBox i</t>
  </si>
  <si>
    <t xml:space="preserve">        Next i</t>
  </si>
  <si>
    <t xml:space="preserve">       For i = 30 to 1 Step -1</t>
  </si>
  <si>
    <t>SLIP 25</t>
  </si>
  <si>
    <t>1. Write a macro to display “Maximum number” if given number is greater than 10.</t>
  </si>
  <si>
    <t>Sub maxnum()</t>
  </si>
  <si>
    <t xml:space="preserve">    If Range("A10").Value &gt;= 10 Then</t>
  </si>
  <si>
    <t xml:space="preserve">        MsgBox "Greater than 10"</t>
  </si>
  <si>
    <t xml:space="preserve">        MsgBox "Not Greater than 10"</t>
  </si>
  <si>
    <t>Math</t>
  </si>
  <si>
    <t>Science</t>
  </si>
  <si>
    <t>English</t>
  </si>
  <si>
    <t>Harsh Patil</t>
  </si>
  <si>
    <t>Isha Sharma</t>
  </si>
  <si>
    <t>2. Create a subject-wise student dataset.</t>
  </si>
  <si>
    <t>i. Use the UNIQUE and SORT functions to extract the unique names of students and sort them alphabetically</t>
  </si>
  <si>
    <t>ii. Display the sorted unique names in a new column.</t>
  </si>
  <si>
    <t>Gayartri Desai</t>
  </si>
  <si>
    <t>After Unique Sort</t>
  </si>
  <si>
    <t>"=SORT(UNIQUE(A31:B39))</t>
  </si>
  <si>
    <t>1. Write a macro to display numbers from 50 to 10 using FOR loop</t>
  </si>
  <si>
    <t>SLIP 26</t>
  </si>
  <si>
    <t>Sub loopSub()</t>
  </si>
  <si>
    <t xml:space="preserve">    Dim i As Integer</t>
  </si>
  <si>
    <t xml:space="preserve">        For i = 50 To 10 Step -1</t>
  </si>
  <si>
    <t xml:space="preserve">            MsgBox i</t>
  </si>
  <si>
    <t>SLIP 27</t>
  </si>
  <si>
    <t>1. Apply following logical function (Apply on any column) : AND() and OR()</t>
  </si>
  <si>
    <t>Ramesh</t>
  </si>
  <si>
    <t>Suchita</t>
  </si>
  <si>
    <t>Sachin</t>
  </si>
  <si>
    <t>Nagesh</t>
  </si>
  <si>
    <t>Trambak</t>
  </si>
  <si>
    <t>Omkar</t>
  </si>
  <si>
    <t>using AND</t>
  </si>
  <si>
    <t>using OR</t>
  </si>
  <si>
    <t>"=IF(OR(C10&gt;60, D10&gt;70), "Pass", "Fail")"</t>
  </si>
  <si>
    <t>"=IF(AND(C10&gt;60, D10&gt;70), "Pass", "Fail")"</t>
  </si>
  <si>
    <t>1. Write a macro to display “Maximum number” if given number is greater than 100</t>
  </si>
  <si>
    <t>SLIP 28</t>
  </si>
  <si>
    <t>Sub maxthanhundred()</t>
  </si>
  <si>
    <t xml:space="preserve">    If Range("A10").Value &gt; 100 Then</t>
  </si>
  <si>
    <t xml:space="preserve">        MsgBox "Greater than 100"</t>
  </si>
  <si>
    <t xml:space="preserve">        MsgBox "Less than 100"</t>
  </si>
  <si>
    <t>2. Create a Column Chart Showing electricity usage.</t>
  </si>
  <si>
    <t xml:space="preserve">Appliance </t>
  </si>
  <si>
    <t>Unit Used</t>
  </si>
  <si>
    <t xml:space="preserve">AC </t>
  </si>
  <si>
    <t>Refrigirator</t>
  </si>
  <si>
    <t>Washing Machine</t>
  </si>
  <si>
    <t>Heater</t>
  </si>
  <si>
    <t>2. Go to Insert &gt; Charts</t>
  </si>
  <si>
    <t>3. Select Column Chart</t>
  </si>
  <si>
    <t>4. Hit OK</t>
  </si>
  <si>
    <t>SLIP 29</t>
  </si>
  <si>
    <t>1. Apply the following formatting to the table :</t>
  </si>
  <si>
    <t>i) Bold all the column headings (Student Name, Days Present, Total Days).</t>
  </si>
  <si>
    <t>ii) Center-align all the data in the table.</t>
  </si>
  <si>
    <t>iii) Increase the font size of all cells to 14.</t>
  </si>
  <si>
    <t>iv) Apply borders to the entire table.</t>
  </si>
  <si>
    <t>v) Change the background color of the column headings to any color of your choice.</t>
  </si>
  <si>
    <t>Student name</t>
  </si>
  <si>
    <t>Days Present</t>
  </si>
  <si>
    <t>THIS IS THE EASIEST QUESTION, IF YOU NEED STEPS TO DO THIS, GO DIE</t>
  </si>
  <si>
    <t>2. Create two columns with any three numeric values in each column</t>
  </si>
  <si>
    <t>i) Use Ctrl + Shift + Enter to calculate the result.</t>
  </si>
  <si>
    <t>ii) Create a list of numeric values in cells A1 to A5.</t>
  </si>
  <si>
    <t>iii) Apply the following array formula to calculate the sum of values greater than 10.</t>
  </si>
  <si>
    <t>iv) Use Ctrl + Shift + Enter.</t>
  </si>
  <si>
    <t>Num 1</t>
  </si>
  <si>
    <t>Num 2</t>
  </si>
  <si>
    <t>Product</t>
  </si>
  <si>
    <t>"=A31:A33 * B31:B33"</t>
  </si>
  <si>
    <t>"=SUM(IF(A37:A41 &gt; 10, A37:A41))"</t>
  </si>
  <si>
    <t>SLIP 30</t>
  </si>
  <si>
    <t>1. Write Text Functions using Array Formula</t>
  </si>
  <si>
    <t>i) Calculate the total number of characters using formula.</t>
  </si>
  <si>
    <t>ii) Extract the first three characters of each name using formula</t>
  </si>
  <si>
    <t>Vedant</t>
  </si>
  <si>
    <t>Yadnesh</t>
  </si>
  <si>
    <t>Aman</t>
  </si>
  <si>
    <t>Harshal</t>
  </si>
  <si>
    <t>Gaurang</t>
  </si>
  <si>
    <t>total chars</t>
  </si>
  <si>
    <t>1st three letters</t>
  </si>
  <si>
    <t>"=LEN(A13)"</t>
  </si>
  <si>
    <t>"=LEN(A14)"</t>
  </si>
  <si>
    <t>"=LEN(A15)"</t>
  </si>
  <si>
    <t>"=LEN(A16)"</t>
  </si>
  <si>
    <t>"=LEN(A17)"</t>
  </si>
  <si>
    <t>"=LEFT(A13,3)"</t>
  </si>
  <si>
    <t>"=LEFT(A14,3)"</t>
  </si>
  <si>
    <t>"=LEFT(A15,3)"</t>
  </si>
  <si>
    <t>"=LEFT(A16,3)"</t>
  </si>
  <si>
    <t>"=LEFT(A17,3)"</t>
  </si>
  <si>
    <t>2. Multiply Two Columns Using an Array Formula</t>
  </si>
  <si>
    <t>i) Enter three numbers in Column A and three numbers in Column B.</t>
  </si>
  <si>
    <t>"=A28 * B28"</t>
  </si>
  <si>
    <t>"=A29 * B29"</t>
  </si>
  <si>
    <t>"=A30 * B30"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</si>
</sst>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sz val="11"/>
      <color theme="1"/>
      <name val="JetBrains Mono"/>
      <family val="3"/>
    </font>
    <font>
      <sz val="8"/>
      <name val="Aptos Narrow"/>
      <family val="2"/>
      <scheme val="minor"/>
    </font>
    <font>
      <sz val="11"/>
      <color theme="1"/>
      <name val="Aptos Narrow"/>
      <family val="2"/>
      <scheme val="minor"/>
    </font>
    <font>
      <b/>
      <sz val="11"/>
      <color theme="1"/>
      <name val="JetBrains Mono"/>
      <family val="3"/>
    </font>
    <font>
      <b/>
      <sz val="18"/>
      <color theme="1"/>
      <name val="Aptos Narrow"/>
      <family val="2"/>
      <scheme val="minor"/>
    </font>
    <font>
      <sz val="10"/>
      <color theme="1"/>
      <name val="Arial Unicode MS"/>
    </font>
    <font>
      <b/>
      <sz val="11"/>
      <color theme="1"/>
      <name val="Aptos Display"/>
      <family val="2"/>
      <scheme val="major"/>
    </font>
    <font>
      <b/>
      <sz val="16"/>
      <color theme="1"/>
      <name val="Aptos Narrow"/>
      <family val="2"/>
      <scheme val="minor"/>
    </font>
    <font>
      <b/>
      <sz val="14"/>
      <color theme="1"/>
      <name val="Aptos Narrow"/>
      <family val="2"/>
      <scheme val="minor"/>
    </font>
    <font>
      <sz val="14"/>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4" fillId="0" borderId="0" applyFont="0" applyFill="0" applyBorder="0" applyAlignment="0" applyProtection="0"/>
  </cellStyleXfs>
  <cellXfs count="3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2" fillId="0" borderId="0" xfId="0" applyFont="1"/>
    <xf numFmtId="3" fontId="0" fillId="0" borderId="0" xfId="0" applyNumberFormat="1" applyAlignment="1">
      <alignment horizontal="center"/>
    </xf>
    <xf numFmtId="0" fontId="1" fillId="2" borderId="1" xfId="0" applyFont="1" applyFill="1" applyBorder="1"/>
    <xf numFmtId="0" fontId="0" fillId="2" borderId="1" xfId="0" applyFill="1" applyBorder="1" applyAlignment="1">
      <alignment horizontal="center"/>
    </xf>
    <xf numFmtId="14" fontId="0" fillId="0" borderId="0" xfId="0" applyNumberFormat="1"/>
    <xf numFmtId="22" fontId="0" fillId="0" borderId="0" xfId="0" applyNumberFormat="1"/>
    <xf numFmtId="0" fontId="2" fillId="0" borderId="0" xfId="0" applyFont="1" applyAlignment="1">
      <alignment horizontal="center"/>
    </xf>
    <xf numFmtId="0" fontId="1" fillId="0" borderId="0" xfId="0" applyFont="1" applyAlignment="1">
      <alignment horizontal="left"/>
    </xf>
    <xf numFmtId="18" fontId="0" fillId="0" borderId="0" xfId="0" applyNumberFormat="1"/>
    <xf numFmtId="0" fontId="2" fillId="0" borderId="0" xfId="0" quotePrefix="1" applyFont="1" applyAlignment="1">
      <alignment horizontal="center"/>
    </xf>
    <xf numFmtId="0" fontId="5" fillId="0" borderId="0" xfId="0" applyFont="1" applyAlignment="1">
      <alignment horizontal="center"/>
    </xf>
    <xf numFmtId="9" fontId="0" fillId="0" borderId="0" xfId="1" applyFont="1"/>
    <xf numFmtId="0" fontId="0" fillId="0" borderId="0" xfId="0" applyAlignment="1">
      <alignment horizontal="left" vertical="center" indent="1"/>
    </xf>
    <xf numFmtId="0" fontId="6" fillId="0" borderId="0" xfId="0" applyFont="1" applyAlignment="1">
      <alignment vertical="center"/>
    </xf>
    <xf numFmtId="0" fontId="1" fillId="0" borderId="0" xfId="0" applyFont="1"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xf numFmtId="0" fontId="5" fillId="0" borderId="0" xfId="0" applyFont="1"/>
    <xf numFmtId="3" fontId="0" fillId="0" borderId="0" xfId="0" applyNumberFormat="1"/>
    <xf numFmtId="0" fontId="0" fillId="0" borderId="0" xfId="0" applyAlignment="1">
      <alignment horizontal="center" vertical="center"/>
    </xf>
    <xf numFmtId="3" fontId="0" fillId="0" borderId="0" xfId="0" applyNumberFormat="1" applyAlignment="1">
      <alignment horizontal="center" vertical="center"/>
    </xf>
    <xf numFmtId="0" fontId="2" fillId="0" borderId="0" xfId="0" applyFont="1" applyAlignment="1">
      <alignment horizontal="left"/>
    </xf>
    <xf numFmtId="0" fontId="8" fillId="0" borderId="0" xfId="0" applyFont="1"/>
    <xf numFmtId="0" fontId="9" fillId="0" borderId="0" xfId="0" applyFont="1"/>
    <xf numFmtId="0" fontId="0" fillId="0" borderId="0" xfId="0" applyAlignment="1">
      <alignment horizontal="left"/>
    </xf>
    <xf numFmtId="0" fontId="11" fillId="0" borderId="1" xfId="0" applyFont="1" applyBorder="1" applyAlignment="1">
      <alignment horizontal="center"/>
    </xf>
    <xf numFmtId="0" fontId="10" fillId="2" borderId="1" xfId="0" applyFont="1" applyFill="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8.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'Slip 1'!$A$28</c:f>
              <c:strCache>
                <c:ptCount val="1"/>
                <c:pt idx="0">
                  <c:v>Sales(Rs)</c:v>
                </c:pt>
              </c:strCache>
            </c:strRef>
          </c:tx>
          <c:spPr>
            <a:solidFill>
              <a:schemeClr val="accent1"/>
            </a:solidFill>
            <a:ln>
              <a:noFill/>
            </a:ln>
            <a:effectLst/>
          </c:spPr>
          <c:invertIfNegative val="0"/>
          <c:cat>
            <c:strRef>
              <c:f>'Slip 1'!$B$27:$E$27</c:f>
              <c:strCache>
                <c:ptCount val="4"/>
                <c:pt idx="0">
                  <c:v>Jan</c:v>
                </c:pt>
                <c:pt idx="1">
                  <c:v>Feb</c:v>
                </c:pt>
                <c:pt idx="2">
                  <c:v>Mar</c:v>
                </c:pt>
                <c:pt idx="3">
                  <c:v>Apr</c:v>
                </c:pt>
              </c:strCache>
            </c:strRef>
          </c:cat>
          <c:val>
            <c:numRef>
              <c:f>'Slip 1'!$B$28:$E$28</c:f>
              <c:numCache>
                <c:formatCode>#,##0</c:formatCode>
                <c:ptCount val="4"/>
                <c:pt idx="0">
                  <c:v>55000</c:v>
                </c:pt>
                <c:pt idx="1">
                  <c:v>60000</c:v>
                </c:pt>
                <c:pt idx="2">
                  <c:v>80000</c:v>
                </c:pt>
                <c:pt idx="3">
                  <c:v>72000</c:v>
                </c:pt>
              </c:numCache>
            </c:numRef>
          </c:val>
          <c:extLst>
            <c:ext xmlns:c16="http://schemas.microsoft.com/office/drawing/2014/chart" uri="{C3380CC4-5D6E-409C-BE32-E72D297353CC}">
              <c16:uniqueId val="{00000000-F1B8-4EB7-8BCA-30A333D98D9E}"/>
            </c:ext>
          </c:extLst>
        </c:ser>
        <c:dLbls>
          <c:showLegendKey val="0"/>
          <c:showVal val="0"/>
          <c:showCatName val="0"/>
          <c:showSerName val="0"/>
          <c:showPercent val="0"/>
          <c:showBubbleSize val="0"/>
        </c:dLbls>
        <c:gapWidth val="219"/>
        <c:overlap val="-27"/>
        <c:axId val="365711040"/>
        <c:axId val="365699040"/>
      </c:barChart>
      <c:lineChart>
        <c:grouping val="standard"/>
        <c:varyColors val="0"/>
        <c:ser>
          <c:idx val="1"/>
          <c:order val="1"/>
          <c:tx>
            <c:strRef>
              <c:f>'Slip 1'!$A$29</c:f>
              <c:strCache>
                <c:ptCount val="1"/>
                <c:pt idx="0">
                  <c:v>Profit(%)</c:v>
                </c:pt>
              </c:strCache>
            </c:strRef>
          </c:tx>
          <c:spPr>
            <a:ln w="28575" cap="rnd">
              <a:solidFill>
                <a:schemeClr val="accent2"/>
              </a:solidFill>
              <a:round/>
            </a:ln>
            <a:effectLst/>
          </c:spPr>
          <c:marker>
            <c:symbol val="none"/>
          </c:marker>
          <c:cat>
            <c:strRef>
              <c:f>'Slip 1'!$B$27:$E$27</c:f>
              <c:strCache>
                <c:ptCount val="4"/>
                <c:pt idx="0">
                  <c:v>Jan</c:v>
                </c:pt>
                <c:pt idx="1">
                  <c:v>Feb</c:v>
                </c:pt>
                <c:pt idx="2">
                  <c:v>Mar</c:v>
                </c:pt>
                <c:pt idx="3">
                  <c:v>Apr</c:v>
                </c:pt>
              </c:strCache>
            </c:strRef>
          </c:cat>
          <c:val>
            <c:numRef>
              <c:f>'Slip 1'!$B$29:$E$29</c:f>
              <c:numCache>
                <c:formatCode>General</c:formatCode>
                <c:ptCount val="4"/>
                <c:pt idx="0">
                  <c:v>10</c:v>
                </c:pt>
                <c:pt idx="1">
                  <c:v>15</c:v>
                </c:pt>
                <c:pt idx="2">
                  <c:v>12</c:v>
                </c:pt>
                <c:pt idx="3">
                  <c:v>18</c:v>
                </c:pt>
              </c:numCache>
            </c:numRef>
          </c:val>
          <c:smooth val="0"/>
          <c:extLst>
            <c:ext xmlns:c16="http://schemas.microsoft.com/office/drawing/2014/chart" uri="{C3380CC4-5D6E-409C-BE32-E72D297353CC}">
              <c16:uniqueId val="{00000001-F1B8-4EB7-8BCA-30A333D98D9E}"/>
            </c:ext>
          </c:extLst>
        </c:ser>
        <c:dLbls>
          <c:showLegendKey val="0"/>
          <c:showVal val="0"/>
          <c:showCatName val="0"/>
          <c:showSerName val="0"/>
          <c:showPercent val="0"/>
          <c:showBubbleSize val="0"/>
        </c:dLbls>
        <c:marker val="1"/>
        <c:smooth val="0"/>
        <c:axId val="365711520"/>
        <c:axId val="365702880"/>
      </c:lineChart>
      <c:catAx>
        <c:axId val="36571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699040"/>
        <c:crosses val="autoZero"/>
        <c:auto val="1"/>
        <c:lblAlgn val="ctr"/>
        <c:lblOffset val="100"/>
        <c:noMultiLvlLbl val="0"/>
      </c:catAx>
      <c:valAx>
        <c:axId val="365699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11040"/>
        <c:crosses val="autoZero"/>
        <c:crossBetween val="between"/>
      </c:valAx>
      <c:valAx>
        <c:axId val="3657028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711520"/>
        <c:crosses val="max"/>
        <c:crossBetween val="between"/>
      </c:valAx>
      <c:catAx>
        <c:axId val="365711520"/>
        <c:scaling>
          <c:orientation val="minMax"/>
        </c:scaling>
        <c:delete val="1"/>
        <c:axPos val="b"/>
        <c:numFmt formatCode="General" sourceLinked="1"/>
        <c:majorTickMark val="out"/>
        <c:minorTickMark val="none"/>
        <c:tickLblPos val="nextTo"/>
        <c:crossAx val="36570288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'Slip 13'!$H$15</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58-4CE5-89E3-9D957D5138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58-4CE5-89E3-9D957D5138A9}"/>
              </c:ext>
            </c:extLst>
          </c:dPt>
          <c:cat>
            <c:strRef>
              <c:f>'Slip 13'!$G$16:$G$17</c:f>
              <c:strCache>
                <c:ptCount val="2"/>
                <c:pt idx="0">
                  <c:v>Pass</c:v>
                </c:pt>
                <c:pt idx="1">
                  <c:v>Fail</c:v>
                </c:pt>
              </c:strCache>
            </c:strRef>
          </c:cat>
          <c:val>
            <c:numRef>
              <c:f>'Slip 13'!$H$16:$H$17</c:f>
              <c:numCache>
                <c:formatCode>General</c:formatCode>
                <c:ptCount val="2"/>
                <c:pt idx="0">
                  <c:v>4</c:v>
                </c:pt>
                <c:pt idx="1">
                  <c:v>2</c:v>
                </c:pt>
              </c:numCache>
            </c:numRef>
          </c:val>
          <c:extLst>
            <c:ext xmlns:c16="http://schemas.microsoft.com/office/drawing/2014/chart" uri="{C3380CC4-5D6E-409C-BE32-E72D297353CC}">
              <c16:uniqueId val="{00000000-4165-4DAD-8C32-E7C3F66BD18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'Slip 13'!$C$16:$C$21</c:f>
              <c:numCache>
                <c:formatCode>General</c:formatCode>
                <c:ptCount val="6"/>
                <c:pt idx="0">
                  <c:v>45</c:v>
                </c:pt>
                <c:pt idx="1">
                  <c:v>32</c:v>
                </c:pt>
                <c:pt idx="2">
                  <c:v>28</c:v>
                </c:pt>
                <c:pt idx="3">
                  <c:v>40</c:v>
                </c:pt>
                <c:pt idx="4">
                  <c:v>20</c:v>
                </c:pt>
                <c:pt idx="5">
                  <c:v>48</c:v>
                </c:pt>
              </c:numCache>
            </c:numRef>
          </c:val>
          <c:extLst>
            <c:ext xmlns:c16="http://schemas.microsoft.com/office/drawing/2014/chart" uri="{C3380CC4-5D6E-409C-BE32-E72D297353CC}">
              <c16:uniqueId val="{00000000-B5B6-41C2-9F34-FA91A74C7F47}"/>
            </c:ext>
          </c:extLst>
        </c:ser>
        <c:dLbls>
          <c:showLegendKey val="0"/>
          <c:showVal val="0"/>
          <c:showCatName val="0"/>
          <c:showSerName val="0"/>
          <c:showPercent val="0"/>
          <c:showBubbleSize val="0"/>
        </c:dLbls>
        <c:gapWidth val="219"/>
        <c:overlap val="-27"/>
        <c:axId val="681919472"/>
        <c:axId val="681923792"/>
      </c:barChart>
      <c:catAx>
        <c:axId val="6819194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23792"/>
        <c:crosses val="autoZero"/>
        <c:auto val="1"/>
        <c:lblAlgn val="ctr"/>
        <c:lblOffset val="100"/>
        <c:noMultiLvlLbl val="0"/>
      </c:catAx>
      <c:valAx>
        <c:axId val="68192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919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'Slip 14'!$A$24</c:f>
              <c:strCache>
                <c:ptCount val="1"/>
                <c:pt idx="0">
                  <c:v>Sales(Rs)</c:v>
                </c:pt>
              </c:strCache>
            </c:strRef>
          </c:tx>
          <c:spPr>
            <a:solidFill>
              <a:schemeClr val="accent1"/>
            </a:solidFill>
            <a:ln>
              <a:noFill/>
            </a:ln>
            <a:effectLst/>
          </c:spPr>
          <c:invertIfNegative val="0"/>
          <c:cat>
            <c:strRef>
              <c:f>'Slip 14'!$B$23:$E$23</c:f>
              <c:strCache>
                <c:ptCount val="4"/>
                <c:pt idx="0">
                  <c:v>Jan</c:v>
                </c:pt>
                <c:pt idx="1">
                  <c:v>Feb</c:v>
                </c:pt>
                <c:pt idx="2">
                  <c:v>Mar</c:v>
                </c:pt>
                <c:pt idx="3">
                  <c:v>Apr</c:v>
                </c:pt>
              </c:strCache>
            </c:strRef>
          </c:cat>
          <c:val>
            <c:numRef>
              <c:f>'Slip 14'!$B$24:$E$24</c:f>
              <c:numCache>
                <c:formatCode>#,##0</c:formatCode>
                <c:ptCount val="4"/>
                <c:pt idx="0">
                  <c:v>55000</c:v>
                </c:pt>
                <c:pt idx="1">
                  <c:v>60000</c:v>
                </c:pt>
                <c:pt idx="2">
                  <c:v>80000</c:v>
                </c:pt>
                <c:pt idx="3">
                  <c:v>72000</c:v>
                </c:pt>
              </c:numCache>
            </c:numRef>
          </c:val>
          <c:extLst>
            <c:ext xmlns:c16="http://schemas.microsoft.com/office/drawing/2014/chart" uri="{C3380CC4-5D6E-409C-BE32-E72D297353CC}">
              <c16:uniqueId val="{00000000-6B0B-4F75-A04B-513EC695022C}"/>
            </c:ext>
          </c:extLst>
        </c:ser>
        <c:dLbls>
          <c:showLegendKey val="0"/>
          <c:showVal val="0"/>
          <c:showCatName val="0"/>
          <c:showSerName val="0"/>
          <c:showPercent val="0"/>
          <c:showBubbleSize val="0"/>
        </c:dLbls>
        <c:gapWidth val="219"/>
        <c:overlap val="-27"/>
        <c:axId val="2064858720"/>
        <c:axId val="2064852480"/>
      </c:barChart>
      <c:lineChart>
        <c:grouping val="standard"/>
        <c:varyColors val="0"/>
        <c:ser>
          <c:idx val="1"/>
          <c:order val="1"/>
          <c:tx>
            <c:strRef>
              <c:f>'Slip 14'!$A$25</c:f>
              <c:strCache>
                <c:ptCount val="1"/>
                <c:pt idx="0">
                  <c:v>Profit(%)</c:v>
                </c:pt>
              </c:strCache>
            </c:strRef>
          </c:tx>
          <c:spPr>
            <a:ln w="28575" cap="rnd">
              <a:solidFill>
                <a:schemeClr val="accent2"/>
              </a:solidFill>
              <a:round/>
            </a:ln>
            <a:effectLst/>
          </c:spPr>
          <c:marker>
            <c:symbol val="none"/>
          </c:marker>
          <c:cat>
            <c:strRef>
              <c:f>'Slip 14'!$B$23:$E$23</c:f>
              <c:strCache>
                <c:ptCount val="4"/>
                <c:pt idx="0">
                  <c:v>Jan</c:v>
                </c:pt>
                <c:pt idx="1">
                  <c:v>Feb</c:v>
                </c:pt>
                <c:pt idx="2">
                  <c:v>Mar</c:v>
                </c:pt>
                <c:pt idx="3">
                  <c:v>Apr</c:v>
                </c:pt>
              </c:strCache>
            </c:strRef>
          </c:cat>
          <c:val>
            <c:numRef>
              <c:f>'Slip 14'!$B$25:$E$25</c:f>
              <c:numCache>
                <c:formatCode>General</c:formatCode>
                <c:ptCount val="4"/>
                <c:pt idx="0">
                  <c:v>10</c:v>
                </c:pt>
                <c:pt idx="1">
                  <c:v>15</c:v>
                </c:pt>
                <c:pt idx="2">
                  <c:v>12</c:v>
                </c:pt>
                <c:pt idx="3">
                  <c:v>18</c:v>
                </c:pt>
              </c:numCache>
            </c:numRef>
          </c:val>
          <c:smooth val="0"/>
          <c:extLst>
            <c:ext xmlns:c16="http://schemas.microsoft.com/office/drawing/2014/chart" uri="{C3380CC4-5D6E-409C-BE32-E72D297353CC}">
              <c16:uniqueId val="{00000001-6B0B-4F75-A04B-513EC695022C}"/>
            </c:ext>
          </c:extLst>
        </c:ser>
        <c:dLbls>
          <c:showLegendKey val="0"/>
          <c:showVal val="0"/>
          <c:showCatName val="0"/>
          <c:showSerName val="0"/>
          <c:showPercent val="0"/>
          <c:showBubbleSize val="0"/>
        </c:dLbls>
        <c:marker val="1"/>
        <c:smooth val="0"/>
        <c:axId val="2064864000"/>
        <c:axId val="2064859200"/>
      </c:lineChart>
      <c:catAx>
        <c:axId val="206485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852480"/>
        <c:crosses val="autoZero"/>
        <c:auto val="1"/>
        <c:lblAlgn val="ctr"/>
        <c:lblOffset val="100"/>
        <c:noMultiLvlLbl val="0"/>
      </c:catAx>
      <c:valAx>
        <c:axId val="2064852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858720"/>
        <c:crosses val="autoZero"/>
        <c:crossBetween val="between"/>
      </c:valAx>
      <c:valAx>
        <c:axId val="20648592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864000"/>
        <c:crosses val="max"/>
        <c:crossBetween val="between"/>
      </c:valAx>
      <c:catAx>
        <c:axId val="2064864000"/>
        <c:scaling>
          <c:orientation val="minMax"/>
        </c:scaling>
        <c:delete val="1"/>
        <c:axPos val="b"/>
        <c:numFmt formatCode="General" sourceLinked="1"/>
        <c:majorTickMark val="out"/>
        <c:minorTickMark val="none"/>
        <c:tickLblPos val="nextTo"/>
        <c:crossAx val="2064859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'Slip 16'!$A$24</c:f>
              <c:strCache>
                <c:ptCount val="1"/>
                <c:pt idx="0">
                  <c:v>Income (₹) </c:v>
                </c:pt>
              </c:strCache>
            </c:strRef>
          </c:tx>
          <c:spPr>
            <a:solidFill>
              <a:schemeClr val="accent1"/>
            </a:solidFill>
            <a:ln>
              <a:noFill/>
            </a:ln>
            <a:effectLst/>
          </c:spPr>
          <c:invertIfNegative val="0"/>
          <c:cat>
            <c:strRef>
              <c:f>'Slip 16'!$B$23:$E$23</c:f>
              <c:strCache>
                <c:ptCount val="4"/>
                <c:pt idx="0">
                  <c:v>May</c:v>
                </c:pt>
                <c:pt idx="1">
                  <c:v>June</c:v>
                </c:pt>
                <c:pt idx="2">
                  <c:v>July</c:v>
                </c:pt>
                <c:pt idx="3">
                  <c:v>August</c:v>
                </c:pt>
              </c:strCache>
            </c:strRef>
          </c:cat>
          <c:val>
            <c:numRef>
              <c:f>'Slip 16'!$B$24:$E$24</c:f>
              <c:numCache>
                <c:formatCode>#,##0</c:formatCode>
                <c:ptCount val="4"/>
                <c:pt idx="0">
                  <c:v>48000</c:v>
                </c:pt>
                <c:pt idx="1">
                  <c:v>52000</c:v>
                </c:pt>
                <c:pt idx="2">
                  <c:v>67000</c:v>
                </c:pt>
                <c:pt idx="3">
                  <c:v>75000</c:v>
                </c:pt>
              </c:numCache>
            </c:numRef>
          </c:val>
          <c:extLst>
            <c:ext xmlns:c16="http://schemas.microsoft.com/office/drawing/2014/chart" uri="{C3380CC4-5D6E-409C-BE32-E72D297353CC}">
              <c16:uniqueId val="{00000000-FFA5-494D-BC5E-66DCB6C11668}"/>
            </c:ext>
          </c:extLst>
        </c:ser>
        <c:dLbls>
          <c:showLegendKey val="0"/>
          <c:showVal val="0"/>
          <c:showCatName val="0"/>
          <c:showSerName val="0"/>
          <c:showPercent val="0"/>
          <c:showBubbleSize val="0"/>
        </c:dLbls>
        <c:gapWidth val="219"/>
        <c:overlap val="-27"/>
        <c:axId val="2064889920"/>
        <c:axId val="2064894720"/>
      </c:barChart>
      <c:lineChart>
        <c:grouping val="standard"/>
        <c:varyColors val="0"/>
        <c:ser>
          <c:idx val="1"/>
          <c:order val="1"/>
          <c:tx>
            <c:strRef>
              <c:f>'Slip 16'!$A$25</c:f>
              <c:strCache>
                <c:ptCount val="1"/>
                <c:pt idx="0">
                  <c:v>Growth(%)</c:v>
                </c:pt>
              </c:strCache>
            </c:strRef>
          </c:tx>
          <c:spPr>
            <a:ln w="28575" cap="rnd">
              <a:solidFill>
                <a:schemeClr val="accent2"/>
              </a:solidFill>
              <a:round/>
            </a:ln>
            <a:effectLst/>
          </c:spPr>
          <c:marker>
            <c:symbol val="none"/>
          </c:marker>
          <c:cat>
            <c:strRef>
              <c:f>'Slip 16'!$B$23:$E$23</c:f>
              <c:strCache>
                <c:ptCount val="4"/>
                <c:pt idx="0">
                  <c:v>May</c:v>
                </c:pt>
                <c:pt idx="1">
                  <c:v>June</c:v>
                </c:pt>
                <c:pt idx="2">
                  <c:v>July</c:v>
                </c:pt>
                <c:pt idx="3">
                  <c:v>August</c:v>
                </c:pt>
              </c:strCache>
            </c:strRef>
          </c:cat>
          <c:val>
            <c:numRef>
              <c:f>'Slip 16'!$B$25:$E$25</c:f>
              <c:numCache>
                <c:formatCode>General</c:formatCode>
                <c:ptCount val="4"/>
                <c:pt idx="0">
                  <c:v>8</c:v>
                </c:pt>
                <c:pt idx="1">
                  <c:v>12</c:v>
                </c:pt>
                <c:pt idx="2">
                  <c:v>10</c:v>
                </c:pt>
                <c:pt idx="3">
                  <c:v>15</c:v>
                </c:pt>
              </c:numCache>
            </c:numRef>
          </c:val>
          <c:smooth val="0"/>
          <c:extLst>
            <c:ext xmlns:c16="http://schemas.microsoft.com/office/drawing/2014/chart" uri="{C3380CC4-5D6E-409C-BE32-E72D297353CC}">
              <c16:uniqueId val="{00000001-FFA5-494D-BC5E-66DCB6C11668}"/>
            </c:ext>
          </c:extLst>
        </c:ser>
        <c:dLbls>
          <c:showLegendKey val="0"/>
          <c:showVal val="0"/>
          <c:showCatName val="0"/>
          <c:showSerName val="0"/>
          <c:showPercent val="0"/>
          <c:showBubbleSize val="0"/>
        </c:dLbls>
        <c:marker val="1"/>
        <c:smooth val="0"/>
        <c:axId val="2064897600"/>
        <c:axId val="2064897120"/>
      </c:lineChart>
      <c:catAx>
        <c:axId val="206488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894720"/>
        <c:crosses val="autoZero"/>
        <c:auto val="1"/>
        <c:lblAlgn val="ctr"/>
        <c:lblOffset val="100"/>
        <c:noMultiLvlLbl val="0"/>
      </c:catAx>
      <c:valAx>
        <c:axId val="2064894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889920"/>
        <c:crosses val="autoZero"/>
        <c:crossBetween val="between"/>
      </c:valAx>
      <c:valAx>
        <c:axId val="20648971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897600"/>
        <c:crosses val="max"/>
        <c:crossBetween val="between"/>
      </c:valAx>
      <c:catAx>
        <c:axId val="2064897600"/>
        <c:scaling>
          <c:orientation val="minMax"/>
        </c:scaling>
        <c:delete val="1"/>
        <c:axPos val="b"/>
        <c:numFmt formatCode="General" sourceLinked="1"/>
        <c:majorTickMark val="out"/>
        <c:minorTickMark val="none"/>
        <c:tickLblPos val="nextTo"/>
        <c:crossAx val="20648971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'Slip 23'!$B$26</c:f>
              <c:strCache>
                <c:ptCount val="1"/>
                <c:pt idx="0">
                  <c:v>Revenue (₹)</c:v>
                </c:pt>
              </c:strCache>
            </c:strRef>
          </c:tx>
          <c:spPr>
            <a:solidFill>
              <a:schemeClr val="accent1"/>
            </a:solidFill>
            <a:ln>
              <a:noFill/>
            </a:ln>
            <a:effectLst/>
          </c:spPr>
          <c:invertIfNegative val="0"/>
          <c:cat>
            <c:strRef>
              <c:f>'Slip 23'!$A$27:$A$30</c:f>
              <c:strCache>
                <c:ptCount val="4"/>
                <c:pt idx="0">
                  <c:v>June</c:v>
                </c:pt>
                <c:pt idx="1">
                  <c:v>July</c:v>
                </c:pt>
                <c:pt idx="2">
                  <c:v>August</c:v>
                </c:pt>
                <c:pt idx="3">
                  <c:v>September</c:v>
                </c:pt>
              </c:strCache>
            </c:strRef>
          </c:cat>
          <c:val>
            <c:numRef>
              <c:f>'Slip 23'!$B$27:$B$30</c:f>
              <c:numCache>
                <c:formatCode>#,##0</c:formatCode>
                <c:ptCount val="4"/>
                <c:pt idx="0">
                  <c:v>42000</c:v>
                </c:pt>
                <c:pt idx="1">
                  <c:v>58000</c:v>
                </c:pt>
                <c:pt idx="2">
                  <c:v>47500</c:v>
                </c:pt>
                <c:pt idx="3">
                  <c:v>66000</c:v>
                </c:pt>
              </c:numCache>
            </c:numRef>
          </c:val>
          <c:extLst>
            <c:ext xmlns:c16="http://schemas.microsoft.com/office/drawing/2014/chart" uri="{C3380CC4-5D6E-409C-BE32-E72D297353CC}">
              <c16:uniqueId val="{00000000-7AEF-4478-8010-EF43A298E2BF}"/>
            </c:ext>
          </c:extLst>
        </c:ser>
        <c:dLbls>
          <c:showLegendKey val="0"/>
          <c:showVal val="0"/>
          <c:showCatName val="0"/>
          <c:showSerName val="0"/>
          <c:showPercent val="0"/>
          <c:showBubbleSize val="0"/>
        </c:dLbls>
        <c:gapWidth val="219"/>
        <c:overlap val="-27"/>
        <c:axId val="1074093264"/>
        <c:axId val="1074095664"/>
      </c:barChart>
      <c:lineChart>
        <c:grouping val="standard"/>
        <c:varyColors val="0"/>
        <c:ser>
          <c:idx val="1"/>
          <c:order val="1"/>
          <c:tx>
            <c:strRef>
              <c:f>'Slip 23'!$C$26</c:f>
              <c:strCache>
                <c:ptCount val="1"/>
                <c:pt idx="0">
                  <c:v>Customer</c:v>
                </c:pt>
              </c:strCache>
            </c:strRef>
          </c:tx>
          <c:spPr>
            <a:ln w="28575" cap="rnd">
              <a:solidFill>
                <a:schemeClr val="accent2"/>
              </a:solidFill>
              <a:round/>
            </a:ln>
            <a:effectLst/>
          </c:spPr>
          <c:marker>
            <c:symbol val="none"/>
          </c:marker>
          <c:cat>
            <c:strRef>
              <c:f>'Slip 23'!$A$27:$A$30</c:f>
              <c:strCache>
                <c:ptCount val="4"/>
                <c:pt idx="0">
                  <c:v>June</c:v>
                </c:pt>
                <c:pt idx="1">
                  <c:v>July</c:v>
                </c:pt>
                <c:pt idx="2">
                  <c:v>August</c:v>
                </c:pt>
                <c:pt idx="3">
                  <c:v>September</c:v>
                </c:pt>
              </c:strCache>
            </c:strRef>
          </c:cat>
          <c:val>
            <c:numRef>
              <c:f>'Slip 23'!$C$27:$C$30</c:f>
              <c:numCache>
                <c:formatCode>General</c:formatCode>
                <c:ptCount val="4"/>
                <c:pt idx="0">
                  <c:v>90</c:v>
                </c:pt>
                <c:pt idx="1">
                  <c:v>120</c:v>
                </c:pt>
                <c:pt idx="2">
                  <c:v>110</c:v>
                </c:pt>
                <c:pt idx="3">
                  <c:v>150</c:v>
                </c:pt>
              </c:numCache>
            </c:numRef>
          </c:val>
          <c:smooth val="0"/>
          <c:extLst>
            <c:ext xmlns:c16="http://schemas.microsoft.com/office/drawing/2014/chart" uri="{C3380CC4-5D6E-409C-BE32-E72D297353CC}">
              <c16:uniqueId val="{00000001-7AEF-4478-8010-EF43A298E2BF}"/>
            </c:ext>
          </c:extLst>
        </c:ser>
        <c:dLbls>
          <c:showLegendKey val="0"/>
          <c:showVal val="0"/>
          <c:showCatName val="0"/>
          <c:showSerName val="0"/>
          <c:showPercent val="0"/>
          <c:showBubbleSize val="0"/>
        </c:dLbls>
        <c:marker val="1"/>
        <c:smooth val="0"/>
        <c:axId val="1074086064"/>
        <c:axId val="1074102384"/>
      </c:lineChart>
      <c:catAx>
        <c:axId val="10740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95664"/>
        <c:crosses val="autoZero"/>
        <c:auto val="1"/>
        <c:lblAlgn val="ctr"/>
        <c:lblOffset val="100"/>
        <c:noMultiLvlLbl val="0"/>
      </c:catAx>
      <c:valAx>
        <c:axId val="107409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93264"/>
        <c:crosses val="autoZero"/>
        <c:crossBetween val="between"/>
      </c:valAx>
      <c:valAx>
        <c:axId val="10741023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86064"/>
        <c:crosses val="max"/>
        <c:crossBetween val="between"/>
      </c:valAx>
      <c:catAx>
        <c:axId val="1074086064"/>
        <c:scaling>
          <c:orientation val="minMax"/>
        </c:scaling>
        <c:delete val="1"/>
        <c:axPos val="b"/>
        <c:numFmt formatCode="General" sourceLinked="1"/>
        <c:majorTickMark val="out"/>
        <c:minorTickMark val="none"/>
        <c:tickLblPos val="nextTo"/>
        <c:crossAx val="10741023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'Slip 23'!$B$26</c:f>
              <c:strCache>
                <c:ptCount val="1"/>
                <c:pt idx="0">
                  <c:v>Revenue (₹)</c:v>
                </c:pt>
              </c:strCache>
            </c:strRef>
          </c:tx>
          <c:spPr>
            <a:solidFill>
              <a:schemeClr val="accent1"/>
            </a:solidFill>
            <a:ln>
              <a:noFill/>
            </a:ln>
            <a:effectLst/>
          </c:spPr>
          <c:invertIfNegative val="0"/>
          <c:cat>
            <c:strRef>
              <c:f>'Slip 23'!$A$27:$A$30</c:f>
              <c:strCache>
                <c:ptCount val="4"/>
                <c:pt idx="0">
                  <c:v>June</c:v>
                </c:pt>
                <c:pt idx="1">
                  <c:v>July</c:v>
                </c:pt>
                <c:pt idx="2">
                  <c:v>August</c:v>
                </c:pt>
                <c:pt idx="3">
                  <c:v>September</c:v>
                </c:pt>
              </c:strCache>
            </c:strRef>
          </c:cat>
          <c:val>
            <c:numRef>
              <c:f>'Slip 23'!$B$27:$B$30</c:f>
              <c:numCache>
                <c:formatCode>#,##0</c:formatCode>
                <c:ptCount val="4"/>
                <c:pt idx="0">
                  <c:v>42000</c:v>
                </c:pt>
                <c:pt idx="1">
                  <c:v>58000</c:v>
                </c:pt>
                <c:pt idx="2">
                  <c:v>47500</c:v>
                </c:pt>
                <c:pt idx="3">
                  <c:v>66000</c:v>
                </c:pt>
              </c:numCache>
            </c:numRef>
          </c:val>
          <c:extLst>
            <c:ext xmlns:c16="http://schemas.microsoft.com/office/drawing/2014/chart" uri="{C3380CC4-5D6E-409C-BE32-E72D297353CC}">
              <c16:uniqueId val="{00000000-BC62-4245-B80B-FF38AC049190}"/>
            </c:ext>
          </c:extLst>
        </c:ser>
        <c:dLbls>
          <c:showLegendKey val="0"/>
          <c:showVal val="0"/>
          <c:showCatName val="0"/>
          <c:showSerName val="0"/>
          <c:showPercent val="0"/>
          <c:showBubbleSize val="0"/>
        </c:dLbls>
        <c:gapWidth val="219"/>
        <c:overlap val="-27"/>
        <c:axId val="1074093264"/>
        <c:axId val="1074095664"/>
      </c:barChart>
      <c:lineChart>
        <c:grouping val="standard"/>
        <c:varyColors val="0"/>
        <c:ser>
          <c:idx val="1"/>
          <c:order val="1"/>
          <c:tx>
            <c:strRef>
              <c:f>'Slip 23'!$C$26</c:f>
              <c:strCache>
                <c:ptCount val="1"/>
                <c:pt idx="0">
                  <c:v>Customer</c:v>
                </c:pt>
              </c:strCache>
            </c:strRef>
          </c:tx>
          <c:spPr>
            <a:ln w="28575" cap="rnd">
              <a:solidFill>
                <a:schemeClr val="accent2"/>
              </a:solidFill>
              <a:round/>
            </a:ln>
            <a:effectLst/>
          </c:spPr>
          <c:marker>
            <c:symbol val="none"/>
          </c:marker>
          <c:cat>
            <c:strRef>
              <c:f>'Slip 23'!$A$27:$A$30</c:f>
              <c:strCache>
                <c:ptCount val="4"/>
                <c:pt idx="0">
                  <c:v>June</c:v>
                </c:pt>
                <c:pt idx="1">
                  <c:v>July</c:v>
                </c:pt>
                <c:pt idx="2">
                  <c:v>August</c:v>
                </c:pt>
                <c:pt idx="3">
                  <c:v>September</c:v>
                </c:pt>
              </c:strCache>
            </c:strRef>
          </c:cat>
          <c:val>
            <c:numRef>
              <c:f>'Slip 23'!$C$27:$C$30</c:f>
              <c:numCache>
                <c:formatCode>General</c:formatCode>
                <c:ptCount val="4"/>
                <c:pt idx="0">
                  <c:v>90</c:v>
                </c:pt>
                <c:pt idx="1">
                  <c:v>120</c:v>
                </c:pt>
                <c:pt idx="2">
                  <c:v>110</c:v>
                </c:pt>
                <c:pt idx="3">
                  <c:v>150</c:v>
                </c:pt>
              </c:numCache>
            </c:numRef>
          </c:val>
          <c:smooth val="0"/>
          <c:extLst>
            <c:ext xmlns:c16="http://schemas.microsoft.com/office/drawing/2014/chart" uri="{C3380CC4-5D6E-409C-BE32-E72D297353CC}">
              <c16:uniqueId val="{00000001-BC62-4245-B80B-FF38AC049190}"/>
            </c:ext>
          </c:extLst>
        </c:ser>
        <c:dLbls>
          <c:showLegendKey val="0"/>
          <c:showVal val="0"/>
          <c:showCatName val="0"/>
          <c:showSerName val="0"/>
          <c:showPercent val="0"/>
          <c:showBubbleSize val="0"/>
        </c:dLbls>
        <c:marker val="1"/>
        <c:smooth val="0"/>
        <c:axId val="1074086064"/>
        <c:axId val="1074102384"/>
      </c:lineChart>
      <c:catAx>
        <c:axId val="10740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95664"/>
        <c:crosses val="autoZero"/>
        <c:auto val="1"/>
        <c:lblAlgn val="ctr"/>
        <c:lblOffset val="100"/>
        <c:noMultiLvlLbl val="0"/>
      </c:catAx>
      <c:valAx>
        <c:axId val="1074095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93264"/>
        <c:crosses val="autoZero"/>
        <c:crossBetween val="between"/>
      </c:valAx>
      <c:valAx>
        <c:axId val="10741023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086064"/>
        <c:crosses val="max"/>
        <c:crossBetween val="between"/>
      </c:valAx>
      <c:catAx>
        <c:axId val="1074086064"/>
        <c:scaling>
          <c:orientation val="minMax"/>
        </c:scaling>
        <c:delete val="1"/>
        <c:axPos val="b"/>
        <c:numFmt formatCode="General" sourceLinked="1"/>
        <c:majorTickMark val="out"/>
        <c:minorTickMark val="none"/>
        <c:tickLblPos val="nextTo"/>
        <c:crossAx val="10741023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'Slip 28'!$B$27</c:f>
              <c:strCache>
                <c:ptCount val="1"/>
                <c:pt idx="0">
                  <c:v>AC </c:v>
                </c:pt>
              </c:strCache>
            </c:strRef>
          </c:tx>
          <c:spPr>
            <a:solidFill>
              <a:schemeClr val="accent1"/>
            </a:solidFill>
            <a:ln>
              <a:noFill/>
            </a:ln>
            <a:effectLst/>
          </c:spPr>
          <c:invertIfNegative val="0"/>
          <c:cat>
            <c:strRef>
              <c:f>'Slip 28'!$A$28</c:f>
              <c:strCache>
                <c:ptCount val="1"/>
                <c:pt idx="0">
                  <c:v>Unit Used</c:v>
                </c:pt>
              </c:strCache>
            </c:strRef>
          </c:cat>
          <c:val>
            <c:numRef>
              <c:f>'Slip 28'!$B$28</c:f>
              <c:numCache>
                <c:formatCode>General</c:formatCode>
                <c:ptCount val="1"/>
                <c:pt idx="0">
                  <c:v>350</c:v>
                </c:pt>
              </c:numCache>
            </c:numRef>
          </c:val>
          <c:extLst>
            <c:ext xmlns:c16="http://schemas.microsoft.com/office/drawing/2014/chart" uri="{C3380CC4-5D6E-409C-BE32-E72D297353CC}">
              <c16:uniqueId val="{00000000-DF0F-4DA6-998F-93340B3374E4}"/>
            </c:ext>
          </c:extLst>
        </c:ser>
        <c:ser>
          <c:idx val="1"/>
          <c:order val="1"/>
          <c:tx>
            <c:strRef>
              <c:f>'Slip 28'!$C$27</c:f>
              <c:strCache>
                <c:ptCount val="1"/>
                <c:pt idx="0">
                  <c:v>Refrigirator</c:v>
                </c:pt>
              </c:strCache>
            </c:strRef>
          </c:tx>
          <c:spPr>
            <a:solidFill>
              <a:schemeClr val="accent2"/>
            </a:solidFill>
            <a:ln>
              <a:noFill/>
            </a:ln>
            <a:effectLst/>
          </c:spPr>
          <c:invertIfNegative val="0"/>
          <c:cat>
            <c:strRef>
              <c:f>'Slip 28'!$A$28</c:f>
              <c:strCache>
                <c:ptCount val="1"/>
                <c:pt idx="0">
                  <c:v>Unit Used</c:v>
                </c:pt>
              </c:strCache>
            </c:strRef>
          </c:cat>
          <c:val>
            <c:numRef>
              <c:f>'Slip 28'!$C$28</c:f>
              <c:numCache>
                <c:formatCode>General</c:formatCode>
                <c:ptCount val="1"/>
                <c:pt idx="0">
                  <c:v>180</c:v>
                </c:pt>
              </c:numCache>
            </c:numRef>
          </c:val>
          <c:extLst>
            <c:ext xmlns:c16="http://schemas.microsoft.com/office/drawing/2014/chart" uri="{C3380CC4-5D6E-409C-BE32-E72D297353CC}">
              <c16:uniqueId val="{00000001-DF0F-4DA6-998F-93340B3374E4}"/>
            </c:ext>
          </c:extLst>
        </c:ser>
        <c:ser>
          <c:idx val="2"/>
          <c:order val="2"/>
          <c:tx>
            <c:strRef>
              <c:f>'Slip 28'!$D$27</c:f>
              <c:strCache>
                <c:ptCount val="1"/>
                <c:pt idx="0">
                  <c:v>Washing Machine</c:v>
                </c:pt>
              </c:strCache>
            </c:strRef>
          </c:tx>
          <c:spPr>
            <a:solidFill>
              <a:schemeClr val="accent3"/>
            </a:solidFill>
            <a:ln>
              <a:noFill/>
            </a:ln>
            <a:effectLst/>
          </c:spPr>
          <c:invertIfNegative val="0"/>
          <c:cat>
            <c:strRef>
              <c:f>'Slip 28'!$A$28</c:f>
              <c:strCache>
                <c:ptCount val="1"/>
                <c:pt idx="0">
                  <c:v>Unit Used</c:v>
                </c:pt>
              </c:strCache>
            </c:strRef>
          </c:cat>
          <c:val>
            <c:numRef>
              <c:f>'Slip 28'!$D$28</c:f>
              <c:numCache>
                <c:formatCode>General</c:formatCode>
                <c:ptCount val="1"/>
                <c:pt idx="0">
                  <c:v>220</c:v>
                </c:pt>
              </c:numCache>
            </c:numRef>
          </c:val>
          <c:extLst>
            <c:ext xmlns:c16="http://schemas.microsoft.com/office/drawing/2014/chart" uri="{C3380CC4-5D6E-409C-BE32-E72D297353CC}">
              <c16:uniqueId val="{00000002-DF0F-4DA6-998F-93340B3374E4}"/>
            </c:ext>
          </c:extLst>
        </c:ser>
        <c:ser>
          <c:idx val="3"/>
          <c:order val="3"/>
          <c:tx>
            <c:strRef>
              <c:f>'Slip 28'!$E$27</c:f>
              <c:strCache>
                <c:ptCount val="1"/>
                <c:pt idx="0">
                  <c:v>Heater</c:v>
                </c:pt>
              </c:strCache>
            </c:strRef>
          </c:tx>
          <c:spPr>
            <a:solidFill>
              <a:schemeClr val="accent4"/>
            </a:solidFill>
            <a:ln>
              <a:noFill/>
            </a:ln>
            <a:effectLst/>
          </c:spPr>
          <c:invertIfNegative val="0"/>
          <c:cat>
            <c:strRef>
              <c:f>'Slip 28'!$A$28</c:f>
              <c:strCache>
                <c:ptCount val="1"/>
                <c:pt idx="0">
                  <c:v>Unit Used</c:v>
                </c:pt>
              </c:strCache>
            </c:strRef>
          </c:cat>
          <c:val>
            <c:numRef>
              <c:f>'Slip 28'!$E$28</c:f>
              <c:numCache>
                <c:formatCode>General</c:formatCode>
                <c:ptCount val="1"/>
                <c:pt idx="0">
                  <c:v>300</c:v>
                </c:pt>
              </c:numCache>
            </c:numRef>
          </c:val>
          <c:extLst>
            <c:ext xmlns:c16="http://schemas.microsoft.com/office/drawing/2014/chart" uri="{C3380CC4-5D6E-409C-BE32-E72D297353CC}">
              <c16:uniqueId val="{00000003-DF0F-4DA6-998F-93340B3374E4}"/>
            </c:ext>
          </c:extLst>
        </c:ser>
        <c:dLbls>
          <c:showLegendKey val="0"/>
          <c:showVal val="0"/>
          <c:showCatName val="0"/>
          <c:showSerName val="0"/>
          <c:showPercent val="0"/>
          <c:showBubbleSize val="0"/>
        </c:dLbls>
        <c:gapWidth val="219"/>
        <c:overlap val="-27"/>
        <c:axId val="1723126048"/>
        <c:axId val="1723126528"/>
      </c:barChart>
      <c:catAx>
        <c:axId val="172312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126528"/>
        <c:crosses val="autoZero"/>
        <c:auto val="1"/>
        <c:lblAlgn val="ctr"/>
        <c:lblOffset val="100"/>
        <c:noMultiLvlLbl val="0"/>
      </c:catAx>
      <c:valAx>
        <c:axId val="172312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126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B6E9B762-2618-4E60-AF1F-59090562AACB}">
          <cx:dataId val="0"/>
          <cx:layoutPr>
            <cx:binning intervalClosed="r"/>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HISTOGRAM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HISTOGRAM</a:t>
          </a:r>
        </a:p>
      </cx:txPr>
    </cx:title>
    <cx:plotArea>
      <cx:plotAreaRegion>
        <cx:series layoutId="clusteredColumn" uniqueId="{45E16BDD-22C6-4037-BAF9-27F14F438AEE}">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plotArea>
      <cx:plotAreaRegion>
        <cx:series layoutId="clusteredColumn" uniqueId="{83612934-CA05-45E8-9A08-A7A65FB38A97}">
          <cx:dataId val="0"/>
          <cx:layoutPr>
            <cx:binning intervalClosed="r"/>
          </cx:layoutPr>
        </cx:series>
      </cx:plotAreaRegion>
      <cx:axis id="0">
        <cx:catScaling gapWidth="0"/>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waterfall" uniqueId="{2068BD71-B961-4863-A679-5C37B440C53A}">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Histogram</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5ED53E5C-22A7-4CC5-B4E2-E22331D8543A}">
          <cx:dataId val="0"/>
          <cx:layoutPr>
            <cx:binning intervalClosed="r">
              <cx:binSize val="10"/>
            </cx:binning>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plotArea>
      <cx:plotAreaRegion>
        <cx:series layoutId="clusteredColumn" uniqueId="{38E14706-AD38-4BAE-B302-5CF40BD8130B}">
          <cx:dataId val="0"/>
          <cx:layoutPr>
            <cx:binning intervalClosed="r">
              <cx:binSize val="1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microsoft.com/office/2014/relationships/chartEx" Target="../charts/chartEx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microsoft.com/office/2014/relationships/chartEx" Target="../charts/chartEx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30</xdr:row>
      <xdr:rowOff>0</xdr:rowOff>
    </xdr:from>
    <xdr:to>
      <xdr:col>5</xdr:col>
      <xdr:colOff>601980</xdr:colOff>
      <xdr:row>42</xdr:row>
      <xdr:rowOff>0</xdr:rowOff>
    </xdr:to>
    <xdr:graphicFrame macro="">
      <xdr:nvGraphicFramePr>
        <xdr:cNvPr id="2" name="Chart 1">
          <a:extLst>
            <a:ext uri="{FF2B5EF4-FFF2-40B4-BE49-F238E27FC236}">
              <a16:creationId xmlns:a16="http://schemas.microsoft.com/office/drawing/2014/main" id="{3F21613B-BC96-9BAF-CE63-16729413D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35</xdr:row>
      <xdr:rowOff>7620</xdr:rowOff>
    </xdr:from>
    <xdr:to>
      <xdr:col>4</xdr:col>
      <xdr:colOff>662940</xdr:colOff>
      <xdr:row>45</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267905F-1415-95C8-8B6D-BD131CFB01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6408420"/>
              <a:ext cx="3177540" cy="1821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35</xdr:row>
      <xdr:rowOff>6804</xdr:rowOff>
    </xdr:from>
    <xdr:to>
      <xdr:col>4</xdr:col>
      <xdr:colOff>653143</xdr:colOff>
      <xdr:row>45</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AC83A8A-B077-0139-ACCF-741B803727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6407604"/>
              <a:ext cx="3167743" cy="18219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33</xdr:row>
      <xdr:rowOff>30480</xdr:rowOff>
    </xdr:from>
    <xdr:to>
      <xdr:col>4</xdr:col>
      <xdr:colOff>45720</xdr:colOff>
      <xdr:row>44</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9849C1F-EF92-42F4-6B08-0CDAA2384A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6065520"/>
              <a:ext cx="2689860" cy="2148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32</xdr:row>
      <xdr:rowOff>121920</xdr:rowOff>
    </xdr:from>
    <xdr:to>
      <xdr:col>5</xdr:col>
      <xdr:colOff>144780</xdr:colOff>
      <xdr:row>47</xdr:row>
      <xdr:rowOff>22860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D672A45-DAF4-379D-ABD6-AE98524176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5974080"/>
              <a:ext cx="3329940" cy="2644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1104900</xdr:colOff>
      <xdr:row>21</xdr:row>
      <xdr:rowOff>160020</xdr:rowOff>
    </xdr:from>
    <xdr:to>
      <xdr:col>4</xdr:col>
      <xdr:colOff>556260</xdr:colOff>
      <xdr:row>37</xdr:row>
      <xdr:rowOff>45720</xdr:rowOff>
    </xdr:to>
    <xdr:graphicFrame macro="">
      <xdr:nvGraphicFramePr>
        <xdr:cNvPr id="3" name="Chart 2">
          <a:extLst>
            <a:ext uri="{FF2B5EF4-FFF2-40B4-BE49-F238E27FC236}">
              <a16:creationId xmlns:a16="http://schemas.microsoft.com/office/drawing/2014/main" id="{35FF988E-169D-D86F-73EA-7E414AE3E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541020</xdr:colOff>
      <xdr:row>21</xdr:row>
      <xdr:rowOff>144780</xdr:rowOff>
    </xdr:from>
    <xdr:to>
      <xdr:col>7</xdr:col>
      <xdr:colOff>586740</xdr:colOff>
      <xdr:row>37</xdr:row>
      <xdr:rowOff>45720</xdr:rowOff>
    </xdr:to>
    <xdr:graphicFrame macro="">
      <xdr:nvGraphicFramePr>
        <xdr:cNvPr id="4" name="Chart 3">
          <a:extLst>
            <a:ext uri="{FF2B5EF4-FFF2-40B4-BE49-F238E27FC236}">
              <a16:creationId xmlns:a16="http://schemas.microsoft.com/office/drawing/2014/main" id="{49B9937F-F829-E661-E12F-3F823CA84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xdr:colOff>
      <xdr:row>26</xdr:row>
      <xdr:rowOff>15240</xdr:rowOff>
    </xdr:from>
    <xdr:to>
      <xdr:col>7</xdr:col>
      <xdr:colOff>7620</xdr:colOff>
      <xdr:row>41</xdr:row>
      <xdr:rowOff>15240</xdr:rowOff>
    </xdr:to>
    <xdr:graphicFrame macro="">
      <xdr:nvGraphicFramePr>
        <xdr:cNvPr id="2" name="Chart 1">
          <a:extLst>
            <a:ext uri="{FF2B5EF4-FFF2-40B4-BE49-F238E27FC236}">
              <a16:creationId xmlns:a16="http://schemas.microsoft.com/office/drawing/2014/main" id="{4EAE5733-9F53-2185-4AAC-8AABE884B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32</xdr:row>
      <xdr:rowOff>121920</xdr:rowOff>
    </xdr:from>
    <xdr:to>
      <xdr:col>3</xdr:col>
      <xdr:colOff>15240</xdr:colOff>
      <xdr:row>43</xdr:row>
      <xdr:rowOff>137160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FF586CC-17B1-ACFA-9A04-4ACEE0B449F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5974080"/>
              <a:ext cx="3223260" cy="2026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7620</xdr:rowOff>
    </xdr:from>
    <xdr:to>
      <xdr:col>6</xdr:col>
      <xdr:colOff>586740</xdr:colOff>
      <xdr:row>41</xdr:row>
      <xdr:rowOff>152400</xdr:rowOff>
    </xdr:to>
    <xdr:graphicFrame macro="">
      <xdr:nvGraphicFramePr>
        <xdr:cNvPr id="2" name="Chart 1">
          <a:extLst>
            <a:ext uri="{FF2B5EF4-FFF2-40B4-BE49-F238E27FC236}">
              <a16:creationId xmlns:a16="http://schemas.microsoft.com/office/drawing/2014/main" id="{65E936F5-4359-E459-F42D-062C72169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40</xdr:row>
      <xdr:rowOff>99060</xdr:rowOff>
    </xdr:from>
    <xdr:to>
      <xdr:col>7</xdr:col>
      <xdr:colOff>304800</xdr:colOff>
      <xdr:row>55</xdr:row>
      <xdr:rowOff>99060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0F8206E-E3EB-C260-3529-DF700B2428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74142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32</xdr:row>
      <xdr:rowOff>7620</xdr:rowOff>
    </xdr:from>
    <xdr:to>
      <xdr:col>7</xdr:col>
      <xdr:colOff>7620</xdr:colOff>
      <xdr:row>47</xdr:row>
      <xdr:rowOff>7620</xdr:rowOff>
    </xdr:to>
    <xdr:graphicFrame macro="">
      <xdr:nvGraphicFramePr>
        <xdr:cNvPr id="2" name="Chart 1">
          <a:extLst>
            <a:ext uri="{FF2B5EF4-FFF2-40B4-BE49-F238E27FC236}">
              <a16:creationId xmlns:a16="http://schemas.microsoft.com/office/drawing/2014/main" id="{CBB8781A-ABD4-C0E7-E570-AB5A9B83C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29</xdr:row>
      <xdr:rowOff>7620</xdr:rowOff>
    </xdr:from>
    <xdr:to>
      <xdr:col>7</xdr:col>
      <xdr:colOff>7620</xdr:colOff>
      <xdr:row>44</xdr:row>
      <xdr:rowOff>7620</xdr:rowOff>
    </xdr:to>
    <xdr:graphicFrame macro="">
      <xdr:nvGraphicFramePr>
        <xdr:cNvPr id="2" name="Chart 1">
          <a:extLst>
            <a:ext uri="{FF2B5EF4-FFF2-40B4-BE49-F238E27FC236}">
              <a16:creationId xmlns:a16="http://schemas.microsoft.com/office/drawing/2014/main" id="{E9CA943D-8E41-403D-B6E4-98DACE9FE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29</xdr:row>
      <xdr:rowOff>114300</xdr:rowOff>
    </xdr:from>
    <xdr:to>
      <xdr:col>5</xdr:col>
      <xdr:colOff>121920</xdr:colOff>
      <xdr:row>44</xdr:row>
      <xdr:rowOff>114300</xdr:rowOff>
    </xdr:to>
    <xdr:graphicFrame macro="">
      <xdr:nvGraphicFramePr>
        <xdr:cNvPr id="2" name="Chart 1">
          <a:extLst>
            <a:ext uri="{FF2B5EF4-FFF2-40B4-BE49-F238E27FC236}">
              <a16:creationId xmlns:a16="http://schemas.microsoft.com/office/drawing/2014/main" id="{0666C280-0E67-7859-EAEC-3F54C0109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640A-0883-49D2-A32D-5D94EDF2A0D1}">
  <sheetPr codeName="Sheet1"/>
  <dimension ref="A3:G32"/>
  <sheetViews>
    <sheetView tabSelected="1" topLeftCell="A2" zoomScale="85" zoomScaleNormal="85" workbookViewId="0">
      <selection activeCell="G39" sqref="G39"/>
    </sheetView>
  </sheetViews>
  <sheetFormatPr defaultRowHeight="14.4"/>
  <cols>
    <col min="1" max="1" width="10.5546875" customWidth="1"/>
    <col min="2" max="2" width="10.33203125" bestFit="1" customWidth="1"/>
    <col min="7" max="7" width="70.77734375" bestFit="1" customWidth="1"/>
  </cols>
  <sheetData>
    <row r="3" spans="1:7">
      <c r="A3" s="1" t="s">
        <v>60</v>
      </c>
    </row>
    <row r="7" spans="1:7">
      <c r="A7" s="1" t="s">
        <v>20</v>
      </c>
    </row>
    <row r="10" spans="1:7">
      <c r="A10" s="2" t="s">
        <v>0</v>
      </c>
      <c r="B10" s="2" t="s">
        <v>1</v>
      </c>
      <c r="C10" s="2" t="s">
        <v>2</v>
      </c>
      <c r="D10" s="2" t="s">
        <v>3</v>
      </c>
      <c r="F10" s="1" t="s">
        <v>16</v>
      </c>
      <c r="G10" s="1" t="s">
        <v>17</v>
      </c>
    </row>
    <row r="11" spans="1:7">
      <c r="A11" s="3">
        <v>1</v>
      </c>
      <c r="B11" s="3" t="s">
        <v>4</v>
      </c>
      <c r="C11" s="3">
        <v>40</v>
      </c>
      <c r="D11" s="3" t="s">
        <v>10</v>
      </c>
      <c r="F11" t="str">
        <f>VLOOKUP(89, C11:D16, 2)</f>
        <v>E</v>
      </c>
      <c r="G11" s="4" t="s">
        <v>18</v>
      </c>
    </row>
    <row r="12" spans="1:7">
      <c r="A12" s="3">
        <v>2</v>
      </c>
      <c r="B12" s="3" t="s">
        <v>5</v>
      </c>
      <c r="C12" s="3">
        <v>50</v>
      </c>
      <c r="D12" s="3" t="s">
        <v>11</v>
      </c>
    </row>
    <row r="13" spans="1:7">
      <c r="A13" s="3">
        <v>3</v>
      </c>
      <c r="B13" s="3" t="s">
        <v>6</v>
      </c>
      <c r="C13" s="3">
        <v>60</v>
      </c>
      <c r="D13" s="3" t="s">
        <v>12</v>
      </c>
      <c r="G13" s="2" t="s">
        <v>19</v>
      </c>
    </row>
    <row r="14" spans="1:7">
      <c r="A14" s="3">
        <v>4</v>
      </c>
      <c r="B14" s="3" t="s">
        <v>7</v>
      </c>
      <c r="C14" s="3">
        <v>70</v>
      </c>
      <c r="D14" s="3" t="s">
        <v>13</v>
      </c>
      <c r="G14" s="3"/>
    </row>
    <row r="15" spans="1:7">
      <c r="A15" s="3">
        <v>5</v>
      </c>
      <c r="B15" s="3" t="s">
        <v>8</v>
      </c>
      <c r="C15" s="3">
        <v>80</v>
      </c>
      <c r="D15" s="3" t="s">
        <v>14</v>
      </c>
      <c r="G15" s="3"/>
    </row>
    <row r="16" spans="1:7">
      <c r="A16" s="3">
        <v>6</v>
      </c>
      <c r="B16" s="3" t="s">
        <v>9</v>
      </c>
      <c r="C16" s="3">
        <v>90</v>
      </c>
      <c r="D16" s="3" t="s">
        <v>15</v>
      </c>
      <c r="G16" s="3"/>
    </row>
    <row r="25" spans="1:7">
      <c r="A25" s="1" t="s">
        <v>21</v>
      </c>
    </row>
    <row r="27" spans="1:7">
      <c r="A27" s="3" t="s">
        <v>22</v>
      </c>
      <c r="B27" s="3" t="s">
        <v>23</v>
      </c>
      <c r="C27" s="3" t="s">
        <v>24</v>
      </c>
      <c r="D27" s="3" t="s">
        <v>25</v>
      </c>
      <c r="E27" s="3" t="s">
        <v>26</v>
      </c>
      <c r="F27" s="1"/>
      <c r="G27" s="2" t="s">
        <v>29</v>
      </c>
    </row>
    <row r="28" spans="1:7">
      <c r="A28" s="3" t="s">
        <v>27</v>
      </c>
      <c r="B28" s="5">
        <v>55000</v>
      </c>
      <c r="C28" s="5">
        <v>60000</v>
      </c>
      <c r="D28" s="5">
        <v>80000</v>
      </c>
      <c r="E28" s="5">
        <v>72000</v>
      </c>
      <c r="G28" t="s">
        <v>30</v>
      </c>
    </row>
    <row r="29" spans="1:7">
      <c r="A29" s="3" t="s">
        <v>28</v>
      </c>
      <c r="B29" s="3">
        <v>10</v>
      </c>
      <c r="C29" s="3">
        <v>15</v>
      </c>
      <c r="D29" s="3">
        <v>12</v>
      </c>
      <c r="E29" s="3">
        <v>18</v>
      </c>
      <c r="G29" t="s">
        <v>31</v>
      </c>
    </row>
    <row r="30" spans="1:7">
      <c r="G30" t="s">
        <v>32</v>
      </c>
    </row>
    <row r="31" spans="1:7">
      <c r="G31" t="s">
        <v>34</v>
      </c>
    </row>
    <row r="32" spans="1:7">
      <c r="G32" t="s">
        <v>33</v>
      </c>
    </row>
  </sheetData>
  <sheetProtection algorithmName="SHA-512" hashValue="hO+zmVRvTeK2QciIJztTYc0dgG35YGOEapfATgJ4Z9H1JcXJFwx0wrJRgTts8R18k9CYnTDxzqO0SZfNrw0oiQ==" saltValue="P+KlCg39lhUPy+UXjeJbsg==" spinCount="100000" sheet="1" formatCells="0" formatColumns="0" formatRows="0" insertColumns="0" insertRows="0" insertHyperlinks="0" deleteColumns="0" deleteRows="0" sort="0" autoFilter="0" pivotTables="0"/>
  <sortState xmlns:xlrd2="http://schemas.microsoft.com/office/spreadsheetml/2017/richdata2" ref="C11:C16">
    <sortCondition ref="C11:C16"/>
  </sortState>
  <pageMargins left="0.25" right="0.25" top="0.75" bottom="0.75" header="0.3" footer="0.3"/>
  <pageSetup paperSize="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B9D3C-A198-4957-B3EF-1C59492EBE51}">
  <sheetPr codeName="Sheet2"/>
  <dimension ref="A4:F34"/>
  <sheetViews>
    <sheetView topLeftCell="A6" zoomScale="112" workbookViewId="0">
      <selection activeCell="F34" sqref="F34"/>
    </sheetView>
  </sheetViews>
  <sheetFormatPr defaultRowHeight="14.4"/>
  <cols>
    <col min="2" max="2" width="10" bestFit="1" customWidth="1"/>
    <col min="5" max="5" width="9.77734375" bestFit="1" customWidth="1"/>
    <col min="6" max="6" width="42.109375" customWidth="1"/>
  </cols>
  <sheetData>
    <row r="4" spans="1:6">
      <c r="A4" s="1" t="s">
        <v>59</v>
      </c>
    </row>
    <row r="11" spans="1:6">
      <c r="A11" s="1" t="s">
        <v>35</v>
      </c>
      <c r="B11" s="1"/>
      <c r="C11" s="1"/>
      <c r="D11" s="1"/>
      <c r="E11" s="1"/>
    </row>
    <row r="12" spans="1:6">
      <c r="A12" s="1" t="s">
        <v>36</v>
      </c>
      <c r="B12" s="1"/>
      <c r="C12" s="1"/>
      <c r="D12" s="1"/>
      <c r="E12" s="1"/>
    </row>
    <row r="14" spans="1:6">
      <c r="A14" s="3" t="s">
        <v>37</v>
      </c>
      <c r="B14" s="3" t="s">
        <v>38</v>
      </c>
      <c r="C14" s="3" t="s">
        <v>39</v>
      </c>
      <c r="E14" s="2" t="s">
        <v>16</v>
      </c>
      <c r="F14" s="2" t="s">
        <v>17</v>
      </c>
    </row>
    <row r="15" spans="1:6">
      <c r="A15" s="3">
        <v>11</v>
      </c>
      <c r="B15" s="3" t="s">
        <v>40</v>
      </c>
      <c r="C15" s="3" t="s">
        <v>46</v>
      </c>
      <c r="E15" t="str">
        <f>_xlfn.CONCAT(B15, C15)</f>
        <v>ShreePune</v>
      </c>
      <c r="F15" s="4" t="s">
        <v>52</v>
      </c>
    </row>
    <row r="16" spans="1:6">
      <c r="A16" s="3">
        <v>12</v>
      </c>
      <c r="B16" s="3" t="s">
        <v>41</v>
      </c>
      <c r="C16" s="3" t="s">
        <v>47</v>
      </c>
      <c r="E16">
        <f>LEN(B16)</f>
        <v>6</v>
      </c>
      <c r="F16" s="4" t="s">
        <v>53</v>
      </c>
    </row>
    <row r="17" spans="1:6">
      <c r="A17" s="3">
        <v>13</v>
      </c>
      <c r="B17" s="3" t="s">
        <v>42</v>
      </c>
      <c r="C17" s="3" t="s">
        <v>48</v>
      </c>
    </row>
    <row r="18" spans="1:6">
      <c r="A18" s="3">
        <v>14</v>
      </c>
      <c r="B18" s="3" t="s">
        <v>43</v>
      </c>
      <c r="C18" s="3" t="s">
        <v>49</v>
      </c>
    </row>
    <row r="19" spans="1:6">
      <c r="A19" s="3">
        <v>15</v>
      </c>
      <c r="B19" s="3" t="s">
        <v>44</v>
      </c>
      <c r="C19" s="3" t="s">
        <v>50</v>
      </c>
    </row>
    <row r="20" spans="1:6">
      <c r="A20" s="3">
        <v>16</v>
      </c>
      <c r="B20" s="3" t="s">
        <v>45</v>
      </c>
      <c r="C20" s="3" t="s">
        <v>51</v>
      </c>
    </row>
    <row r="23" spans="1:6">
      <c r="A23" s="1" t="s">
        <v>54</v>
      </c>
    </row>
    <row r="25" spans="1:6">
      <c r="A25">
        <v>32</v>
      </c>
      <c r="F25" s="1" t="s">
        <v>29</v>
      </c>
    </row>
    <row r="26" spans="1:6">
      <c r="A26">
        <v>47</v>
      </c>
      <c r="F26" t="s">
        <v>55</v>
      </c>
    </row>
    <row r="27" spans="1:6">
      <c r="A27">
        <v>59</v>
      </c>
      <c r="F27" t="s">
        <v>56</v>
      </c>
    </row>
    <row r="28" spans="1:6">
      <c r="A28">
        <v>65</v>
      </c>
      <c r="F28" t="s">
        <v>57</v>
      </c>
    </row>
    <row r="29" spans="1:6">
      <c r="A29">
        <v>73</v>
      </c>
      <c r="F29" t="s">
        <v>58</v>
      </c>
    </row>
    <row r="30" spans="1:6">
      <c r="A30">
        <v>81</v>
      </c>
    </row>
    <row r="31" spans="1:6">
      <c r="A31">
        <v>66</v>
      </c>
    </row>
    <row r="32" spans="1:6">
      <c r="A32">
        <v>90</v>
      </c>
    </row>
    <row r="33" spans="1:1">
      <c r="A33">
        <v>55</v>
      </c>
    </row>
    <row r="34" spans="1:1">
      <c r="A34">
        <v>40</v>
      </c>
    </row>
  </sheetData>
  <pageMargins left="0.7" right="0.7" top="0.75" bottom="0.75" header="0.3" footer="0.3"/>
  <pageSetup paperSize="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015C-46B1-4B8A-8836-26241ECB5C7F}">
  <sheetPr codeName="Sheet3"/>
  <dimension ref="A4:F27"/>
  <sheetViews>
    <sheetView topLeftCell="A7" workbookViewId="0">
      <selection activeCell="G27" sqref="G27"/>
    </sheetView>
  </sheetViews>
  <sheetFormatPr defaultRowHeight="14.4"/>
  <cols>
    <col min="2" max="2" width="10.109375" bestFit="1" customWidth="1"/>
    <col min="6" max="6" width="27.109375" bestFit="1" customWidth="1"/>
  </cols>
  <sheetData>
    <row r="4" spans="1:6">
      <c r="A4" s="1" t="s">
        <v>62</v>
      </c>
    </row>
    <row r="9" spans="1:6">
      <c r="A9" s="1" t="s">
        <v>61</v>
      </c>
    </row>
    <row r="12" spans="1:6">
      <c r="A12" s="3" t="s">
        <v>37</v>
      </c>
      <c r="B12" s="3" t="s">
        <v>63</v>
      </c>
      <c r="C12" s="3" t="s">
        <v>39</v>
      </c>
      <c r="E12" s="2" t="s">
        <v>16</v>
      </c>
      <c r="F12" s="2" t="s">
        <v>17</v>
      </c>
    </row>
    <row r="13" spans="1:6">
      <c r="A13" s="3">
        <v>11</v>
      </c>
      <c r="B13" s="3" t="s">
        <v>64</v>
      </c>
      <c r="C13" s="3" t="s">
        <v>46</v>
      </c>
      <c r="E13" t="str">
        <f>LEFT(B13, 3)</f>
        <v>Gop</v>
      </c>
      <c r="F13" s="4" t="s">
        <v>70</v>
      </c>
    </row>
    <row r="14" spans="1:6">
      <c r="A14" s="3">
        <v>12</v>
      </c>
      <c r="B14" s="3" t="s">
        <v>65</v>
      </c>
      <c r="C14" s="3" t="s">
        <v>47</v>
      </c>
      <c r="E14" t="str">
        <f>RIGHT(B14, 3)</f>
        <v>han</v>
      </c>
      <c r="F14" s="4" t="s">
        <v>71</v>
      </c>
    </row>
    <row r="15" spans="1:6">
      <c r="A15" s="3">
        <v>13</v>
      </c>
      <c r="B15" s="3" t="s">
        <v>66</v>
      </c>
      <c r="C15" s="3" t="s">
        <v>48</v>
      </c>
    </row>
    <row r="16" spans="1:6">
      <c r="A16" s="3">
        <v>14</v>
      </c>
      <c r="B16" s="3" t="s">
        <v>67</v>
      </c>
      <c r="C16" s="3" t="s">
        <v>49</v>
      </c>
    </row>
    <row r="17" spans="1:6">
      <c r="A17" s="3">
        <v>15</v>
      </c>
      <c r="B17" s="3" t="s">
        <v>68</v>
      </c>
      <c r="C17" s="3" t="s">
        <v>50</v>
      </c>
    </row>
    <row r="18" spans="1:6">
      <c r="A18" s="3">
        <v>16</v>
      </c>
      <c r="B18" s="3" t="s">
        <v>69</v>
      </c>
      <c r="C18" s="3" t="s">
        <v>51</v>
      </c>
    </row>
    <row r="20" spans="1:6">
      <c r="A20" s="1" t="s">
        <v>72</v>
      </c>
    </row>
    <row r="22" spans="1:6">
      <c r="B22" s="1" t="s">
        <v>16</v>
      </c>
      <c r="F22" s="2" t="s">
        <v>17</v>
      </c>
    </row>
    <row r="23" spans="1:6">
      <c r="A23" t="s">
        <v>73</v>
      </c>
      <c r="B23" t="str">
        <f t="array" ref="B23">MID(A23:A25, 2, 3)</f>
        <v>mit</v>
      </c>
      <c r="F23" s="4" t="s">
        <v>78</v>
      </c>
    </row>
    <row r="24" spans="1:6">
      <c r="A24" t="s">
        <v>74</v>
      </c>
      <c r="B24" t="str">
        <f t="array" ref="B24">MID(A24:A26, 2, 3)</f>
        <v>hya</v>
      </c>
    </row>
    <row r="25" spans="1:6">
      <c r="A25" t="s">
        <v>75</v>
      </c>
      <c r="B25" t="str">
        <f t="array" ref="B25">MID(A25:A27, 2, 3)</f>
        <v>het</v>
      </c>
    </row>
    <row r="26" spans="1:6">
      <c r="A26" t="s">
        <v>76</v>
      </c>
    </row>
    <row r="27" spans="1:6">
      <c r="A27" t="s">
        <v>77</v>
      </c>
    </row>
  </sheetData>
  <pageMargins left="0.7" right="0.7" top="0.75" bottom="0.75" header="0.3" footer="0.3"/>
  <pageSetup paperSize="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DAD8E-D421-4025-8F23-9CE36DBC3D41}">
  <sheetPr codeName="Sheet4"/>
  <dimension ref="A3:G29"/>
  <sheetViews>
    <sheetView workbookViewId="0">
      <selection activeCell="D25" sqref="D25"/>
    </sheetView>
  </sheetViews>
  <sheetFormatPr defaultRowHeight="14.4"/>
  <cols>
    <col min="2" max="2" width="11.77734375" customWidth="1"/>
    <col min="3" max="3" width="11" bestFit="1" customWidth="1"/>
    <col min="4" max="4" width="39.6640625" bestFit="1" customWidth="1"/>
    <col min="6" max="6" width="19.88671875" customWidth="1"/>
    <col min="7" max="7" width="20.77734375" bestFit="1" customWidth="1"/>
  </cols>
  <sheetData>
    <row r="3" spans="1:7">
      <c r="A3" s="1" t="s">
        <v>95</v>
      </c>
    </row>
    <row r="7" spans="1:7">
      <c r="A7" s="1" t="s">
        <v>79</v>
      </c>
    </row>
    <row r="9" spans="1:7">
      <c r="A9" s="2" t="s">
        <v>80</v>
      </c>
      <c r="B9" s="2" t="s">
        <v>81</v>
      </c>
      <c r="C9" s="2" t="s">
        <v>38</v>
      </c>
      <c r="D9" s="2" t="s">
        <v>39</v>
      </c>
      <c r="E9" s="3"/>
      <c r="F9" s="2" t="s">
        <v>16</v>
      </c>
      <c r="G9" s="2" t="s">
        <v>17</v>
      </c>
    </row>
    <row r="10" spans="1:7">
      <c r="A10" s="3">
        <v>2</v>
      </c>
      <c r="B10" s="3">
        <v>11</v>
      </c>
      <c r="C10" s="3" t="s">
        <v>88</v>
      </c>
      <c r="D10" s="3" t="s">
        <v>82</v>
      </c>
      <c r="E10" s="3"/>
      <c r="F10" t="str">
        <f>MID(C10, 2, 4)</f>
        <v>eeta</v>
      </c>
      <c r="G10" s="4" t="s">
        <v>93</v>
      </c>
    </row>
    <row r="11" spans="1:7">
      <c r="A11" s="3">
        <v>3</v>
      </c>
      <c r="B11" s="3">
        <v>12</v>
      </c>
      <c r="C11" s="3" t="s">
        <v>89</v>
      </c>
      <c r="D11" s="3" t="s">
        <v>83</v>
      </c>
      <c r="E11" s="3"/>
      <c r="F11" t="str">
        <f>TRIM(D11)</f>
        <v>Satara, Maharashtra</v>
      </c>
      <c r="G11" s="4" t="s">
        <v>94</v>
      </c>
    </row>
    <row r="12" spans="1:7">
      <c r="A12" s="3">
        <v>4</v>
      </c>
      <c r="B12" s="3">
        <v>13</v>
      </c>
      <c r="C12" s="3" t="s">
        <v>90</v>
      </c>
      <c r="D12" s="3" t="s">
        <v>84</v>
      </c>
      <c r="E12" s="3"/>
    </row>
    <row r="13" spans="1:7">
      <c r="A13" s="3">
        <v>5</v>
      </c>
      <c r="B13" s="3">
        <v>14</v>
      </c>
      <c r="C13" s="3" t="s">
        <v>68</v>
      </c>
      <c r="D13" s="3" t="s">
        <v>85</v>
      </c>
      <c r="E13" s="3"/>
    </row>
    <row r="14" spans="1:7">
      <c r="A14" s="3">
        <v>6</v>
      </c>
      <c r="B14" s="3">
        <v>15</v>
      </c>
      <c r="C14" s="3" t="s">
        <v>91</v>
      </c>
      <c r="D14" s="3" t="s">
        <v>86</v>
      </c>
      <c r="E14" s="3"/>
    </row>
    <row r="15" spans="1:7">
      <c r="A15" s="3">
        <v>7</v>
      </c>
      <c r="B15" s="3">
        <v>16</v>
      </c>
      <c r="C15" s="3" t="s">
        <v>92</v>
      </c>
      <c r="D15" s="3" t="s">
        <v>87</v>
      </c>
      <c r="E15" s="3"/>
    </row>
    <row r="20" spans="1:4">
      <c r="A20" s="1" t="s">
        <v>96</v>
      </c>
    </row>
    <row r="21" spans="1:4">
      <c r="A21" s="1" t="s">
        <v>97</v>
      </c>
    </row>
    <row r="22" spans="1:4">
      <c r="A22" s="1" t="s">
        <v>98</v>
      </c>
    </row>
    <row r="24" spans="1:4">
      <c r="A24" s="2" t="s">
        <v>22</v>
      </c>
      <c r="B24" s="2" t="s">
        <v>100</v>
      </c>
      <c r="C24" s="1" t="s">
        <v>16</v>
      </c>
      <c r="D24" s="2" t="s">
        <v>17</v>
      </c>
    </row>
    <row r="25" spans="1:4">
      <c r="A25" s="3" t="s">
        <v>23</v>
      </c>
      <c r="B25" s="3">
        <v>1200</v>
      </c>
      <c r="C25">
        <f>B25^3</f>
        <v>1728000000</v>
      </c>
      <c r="D25" s="4" t="s">
        <v>101</v>
      </c>
    </row>
    <row r="26" spans="1:4">
      <c r="A26" s="3" t="s">
        <v>24</v>
      </c>
      <c r="B26" s="3">
        <v>1500</v>
      </c>
      <c r="C26">
        <f>B26^3</f>
        <v>3375000000</v>
      </c>
    </row>
    <row r="27" spans="1:4">
      <c r="A27" s="3" t="s">
        <v>25</v>
      </c>
      <c r="B27" s="3">
        <v>1000</v>
      </c>
      <c r="C27">
        <f>B27^3</f>
        <v>1000000000</v>
      </c>
    </row>
    <row r="28" spans="1:4">
      <c r="A28" s="3" t="s">
        <v>26</v>
      </c>
      <c r="B28" s="3">
        <v>1800</v>
      </c>
      <c r="C28">
        <f>B28^3</f>
        <v>5832000000</v>
      </c>
    </row>
    <row r="29" spans="1:4">
      <c r="A29" s="3" t="s">
        <v>99</v>
      </c>
      <c r="B29" s="3">
        <v>1300</v>
      </c>
      <c r="C29">
        <f>B29 ^ 3</f>
        <v>2197000000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E03F3-DB21-4BA4-98CD-19E9ACD12542}">
  <sheetPr codeName="Sheet5"/>
  <dimension ref="A3:G28"/>
  <sheetViews>
    <sheetView workbookViewId="0">
      <selection activeCell="G19" sqref="G19:G23"/>
    </sheetView>
  </sheetViews>
  <sheetFormatPr defaultRowHeight="14.4"/>
  <cols>
    <col min="2" max="2" width="11.88671875" bestFit="1" customWidth="1"/>
    <col min="6" max="6" width="17" customWidth="1"/>
    <col min="7" max="7" width="61" bestFit="1" customWidth="1"/>
  </cols>
  <sheetData>
    <row r="3" spans="1:7">
      <c r="A3" s="1" t="s">
        <v>103</v>
      </c>
    </row>
    <row r="6" spans="1:7">
      <c r="A6" s="1" t="s">
        <v>102</v>
      </c>
    </row>
    <row r="8" spans="1:7">
      <c r="A8" s="3" t="s">
        <v>104</v>
      </c>
      <c r="B8" s="3" t="s">
        <v>105</v>
      </c>
      <c r="C8" s="3" t="s">
        <v>106</v>
      </c>
      <c r="D8" s="3" t="s">
        <v>107</v>
      </c>
      <c r="F8" s="2" t="s">
        <v>16</v>
      </c>
      <c r="G8" s="2" t="s">
        <v>17</v>
      </c>
    </row>
    <row r="9" spans="1:7">
      <c r="A9" s="3">
        <v>1</v>
      </c>
      <c r="B9" s="3" t="s">
        <v>108</v>
      </c>
      <c r="C9" s="3">
        <v>40</v>
      </c>
      <c r="D9" s="3" t="s">
        <v>15</v>
      </c>
      <c r="F9" s="3" t="str">
        <f>VLOOKUP(56, C9:D14, 2, TRUE)</f>
        <v>E</v>
      </c>
      <c r="G9" s="4" t="s">
        <v>113</v>
      </c>
    </row>
    <row r="10" spans="1:7">
      <c r="A10" s="3">
        <v>2</v>
      </c>
      <c r="B10" s="3" t="s">
        <v>109</v>
      </c>
      <c r="C10" s="3">
        <v>50</v>
      </c>
      <c r="D10" s="3" t="s">
        <v>14</v>
      </c>
    </row>
    <row r="11" spans="1:7">
      <c r="A11" s="3">
        <v>3</v>
      </c>
      <c r="B11" s="3" t="s">
        <v>110</v>
      </c>
      <c r="C11" s="3">
        <v>60</v>
      </c>
      <c r="D11" s="3" t="s">
        <v>13</v>
      </c>
      <c r="G11" t="s">
        <v>114</v>
      </c>
    </row>
    <row r="12" spans="1:7">
      <c r="A12" s="3">
        <v>4</v>
      </c>
      <c r="B12" s="3" t="s">
        <v>111</v>
      </c>
      <c r="C12" s="3">
        <v>70</v>
      </c>
      <c r="D12" s="3" t="s">
        <v>12</v>
      </c>
    </row>
    <row r="13" spans="1:7">
      <c r="A13" s="3">
        <v>5</v>
      </c>
      <c r="B13" s="3" t="s">
        <v>109</v>
      </c>
      <c r="C13" s="3">
        <v>80</v>
      </c>
      <c r="D13" s="3" t="s">
        <v>11</v>
      </c>
    </row>
    <row r="14" spans="1:7">
      <c r="A14" s="3">
        <v>6</v>
      </c>
      <c r="B14" s="3" t="s">
        <v>112</v>
      </c>
      <c r="C14" s="3">
        <v>90</v>
      </c>
      <c r="D14" s="3" t="s">
        <v>10</v>
      </c>
    </row>
    <row r="17" spans="1:7">
      <c r="A17" s="1" t="s">
        <v>115</v>
      </c>
    </row>
    <row r="19" spans="1:7">
      <c r="A19">
        <v>28</v>
      </c>
      <c r="G19" s="2" t="s">
        <v>29</v>
      </c>
    </row>
    <row r="20" spans="1:7">
      <c r="A20">
        <v>35</v>
      </c>
      <c r="G20" t="s">
        <v>55</v>
      </c>
    </row>
    <row r="21" spans="1:7">
      <c r="A21">
        <v>42</v>
      </c>
      <c r="G21" t="s">
        <v>56</v>
      </c>
    </row>
    <row r="22" spans="1:7">
      <c r="A22">
        <v>48</v>
      </c>
      <c r="G22" t="s">
        <v>57</v>
      </c>
    </row>
    <row r="23" spans="1:7">
      <c r="A23">
        <v>55</v>
      </c>
      <c r="G23" t="s">
        <v>58</v>
      </c>
    </row>
    <row r="24" spans="1:7">
      <c r="A24">
        <v>61</v>
      </c>
    </row>
    <row r="25" spans="1:7">
      <c r="A25">
        <v>67</v>
      </c>
    </row>
    <row r="26" spans="1:7">
      <c r="A26">
        <v>73</v>
      </c>
    </row>
    <row r="27" spans="1:7">
      <c r="A27">
        <v>80</v>
      </c>
    </row>
    <row r="28" spans="1:7">
      <c r="A28">
        <v>92</v>
      </c>
    </row>
  </sheetData>
  <sortState xmlns:xlrd2="http://schemas.microsoft.com/office/spreadsheetml/2017/richdata2" ref="C9:C14">
    <sortCondition ref="C9:C14"/>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2891D-F620-4128-9DC9-1B10FA69B9D9}">
  <sheetPr codeName="Sheet6"/>
  <dimension ref="A4:G32"/>
  <sheetViews>
    <sheetView zoomScale="81" workbookViewId="0">
      <selection activeCell="G34" sqref="G34"/>
    </sheetView>
  </sheetViews>
  <sheetFormatPr defaultRowHeight="14.4"/>
  <cols>
    <col min="2" max="2" width="10.88671875" bestFit="1" customWidth="1"/>
    <col min="7" max="7" width="40.88671875" bestFit="1" customWidth="1"/>
  </cols>
  <sheetData>
    <row r="4" spans="1:7">
      <c r="A4" s="1" t="s">
        <v>116</v>
      </c>
    </row>
    <row r="8" spans="1:7">
      <c r="A8" s="1" t="s">
        <v>117</v>
      </c>
    </row>
    <row r="10" spans="1:7">
      <c r="A10" s="3" t="s">
        <v>118</v>
      </c>
      <c r="B10" s="3" t="s">
        <v>105</v>
      </c>
      <c r="C10" s="3" t="s">
        <v>106</v>
      </c>
      <c r="D10" s="3" t="s">
        <v>107</v>
      </c>
      <c r="F10" s="2" t="s">
        <v>16</v>
      </c>
      <c r="G10" s="2" t="s">
        <v>17</v>
      </c>
    </row>
    <row r="11" spans="1:7">
      <c r="A11" s="3">
        <v>5</v>
      </c>
      <c r="B11" s="3" t="s">
        <v>123</v>
      </c>
      <c r="C11" s="3">
        <v>40</v>
      </c>
      <c r="D11" s="3" t="s">
        <v>15</v>
      </c>
      <c r="F11" t="str">
        <f>VLOOKUP(77, C11:D16, 2, TRUE)</f>
        <v>C</v>
      </c>
      <c r="G11" s="4" t="s">
        <v>124</v>
      </c>
    </row>
    <row r="12" spans="1:7">
      <c r="A12" s="3">
        <v>4</v>
      </c>
      <c r="B12" s="3" t="s">
        <v>122</v>
      </c>
      <c r="C12" s="3">
        <v>50</v>
      </c>
      <c r="D12" s="3" t="s">
        <v>14</v>
      </c>
    </row>
    <row r="13" spans="1:7">
      <c r="A13" s="3">
        <v>3</v>
      </c>
      <c r="B13" s="3" t="s">
        <v>121</v>
      </c>
      <c r="C13" s="3">
        <v>60</v>
      </c>
      <c r="D13" s="3" t="s">
        <v>13</v>
      </c>
      <c r="G13" t="s">
        <v>114</v>
      </c>
    </row>
    <row r="14" spans="1:7">
      <c r="A14" s="3">
        <v>3</v>
      </c>
      <c r="B14" s="3" t="s">
        <v>120</v>
      </c>
      <c r="C14" s="3">
        <v>70</v>
      </c>
      <c r="D14" s="3" t="s">
        <v>12</v>
      </c>
    </row>
    <row r="15" spans="1:7">
      <c r="A15" s="3">
        <v>2</v>
      </c>
      <c r="B15" s="3" t="s">
        <v>119</v>
      </c>
      <c r="C15" s="3">
        <v>80</v>
      </c>
      <c r="D15" s="3" t="s">
        <v>11</v>
      </c>
    </row>
    <row r="16" spans="1:7">
      <c r="A16" s="3">
        <v>1</v>
      </c>
      <c r="B16" s="3" t="s">
        <v>91</v>
      </c>
      <c r="C16" s="3">
        <v>90</v>
      </c>
      <c r="D16" s="3" t="s">
        <v>10</v>
      </c>
    </row>
    <row r="21" spans="1:7">
      <c r="A21" s="1" t="s">
        <v>125</v>
      </c>
    </row>
    <row r="23" spans="1:7">
      <c r="A23">
        <v>32</v>
      </c>
      <c r="G23" s="2" t="s">
        <v>29</v>
      </c>
    </row>
    <row r="24" spans="1:7">
      <c r="A24">
        <v>47</v>
      </c>
      <c r="G24" t="s">
        <v>55</v>
      </c>
    </row>
    <row r="25" spans="1:7">
      <c r="A25">
        <v>59</v>
      </c>
      <c r="G25" t="s">
        <v>56</v>
      </c>
    </row>
    <row r="26" spans="1:7">
      <c r="A26">
        <v>65</v>
      </c>
      <c r="G26" t="s">
        <v>126</v>
      </c>
    </row>
    <row r="27" spans="1:7">
      <c r="A27">
        <v>73</v>
      </c>
      <c r="G27" t="s">
        <v>127</v>
      </c>
    </row>
    <row r="28" spans="1:7">
      <c r="A28">
        <v>81</v>
      </c>
    </row>
    <row r="29" spans="1:7">
      <c r="A29">
        <v>66</v>
      </c>
    </row>
    <row r="30" spans="1:7">
      <c r="A30">
        <v>90</v>
      </c>
    </row>
    <row r="31" spans="1:7">
      <c r="A31">
        <v>55</v>
      </c>
    </row>
    <row r="32" spans="1:7">
      <c r="A32">
        <v>4</v>
      </c>
    </row>
  </sheetData>
  <sortState xmlns:xlrd2="http://schemas.microsoft.com/office/spreadsheetml/2017/richdata2" ref="A11:D16">
    <sortCondition ref="C11:C16"/>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A144-B744-4128-A9EF-DE96EDCCACC6}">
  <sheetPr codeName="Sheet7"/>
  <dimension ref="A1:G27"/>
  <sheetViews>
    <sheetView workbookViewId="0">
      <selection activeCell="F20" sqref="F20"/>
    </sheetView>
  </sheetViews>
  <sheetFormatPr defaultRowHeight="14.4"/>
  <cols>
    <col min="1" max="1" width="15.21875" customWidth="1"/>
    <col min="2" max="2" width="21.5546875" customWidth="1"/>
    <col min="3" max="3" width="16" customWidth="1"/>
    <col min="6" max="6" width="39.6640625" bestFit="1" customWidth="1"/>
  </cols>
  <sheetData>
    <row r="1" spans="1:7">
      <c r="A1" s="1" t="s">
        <v>128</v>
      </c>
    </row>
    <row r="2" spans="1:7">
      <c r="B2" t="s">
        <v>129</v>
      </c>
    </row>
    <row r="3" spans="1:7">
      <c r="B3" t="s">
        <v>130</v>
      </c>
    </row>
    <row r="4" spans="1:7">
      <c r="B4" t="s">
        <v>131</v>
      </c>
    </row>
    <row r="5" spans="1:7">
      <c r="B5" t="s">
        <v>132</v>
      </c>
    </row>
    <row r="6" spans="1:7">
      <c r="B6" t="s">
        <v>133</v>
      </c>
    </row>
    <row r="10" spans="1:7">
      <c r="A10" s="6" t="s">
        <v>134</v>
      </c>
      <c r="B10" s="6" t="s">
        <v>135</v>
      </c>
      <c r="C10" s="6" t="s">
        <v>136</v>
      </c>
    </row>
    <row r="11" spans="1:7">
      <c r="A11" s="7" t="s">
        <v>137</v>
      </c>
      <c r="B11" s="7">
        <v>18</v>
      </c>
      <c r="C11" s="7">
        <v>20</v>
      </c>
      <c r="G11" s="1" t="s">
        <v>142</v>
      </c>
    </row>
    <row r="12" spans="1:7">
      <c r="A12" s="7" t="s">
        <v>138</v>
      </c>
      <c r="B12" s="7">
        <v>16</v>
      </c>
      <c r="C12" s="7">
        <v>20</v>
      </c>
    </row>
    <row r="13" spans="1:7">
      <c r="A13" s="7" t="s">
        <v>139</v>
      </c>
      <c r="B13" s="7">
        <v>12</v>
      </c>
      <c r="C13" s="7">
        <v>20</v>
      </c>
    </row>
    <row r="14" spans="1:7">
      <c r="A14" s="7" t="s">
        <v>140</v>
      </c>
      <c r="B14" s="7">
        <v>20</v>
      </c>
      <c r="C14" s="7">
        <v>20</v>
      </c>
    </row>
    <row r="15" spans="1:7">
      <c r="A15" s="7" t="s">
        <v>141</v>
      </c>
      <c r="B15" s="7">
        <v>15</v>
      </c>
      <c r="C15" s="7">
        <v>20</v>
      </c>
    </row>
    <row r="18" spans="1:6">
      <c r="A18" s="1" t="s">
        <v>143</v>
      </c>
    </row>
    <row r="19" spans="1:6">
      <c r="A19" t="s">
        <v>97</v>
      </c>
    </row>
    <row r="20" spans="1:6">
      <c r="A20" t="s">
        <v>144</v>
      </c>
    </row>
    <row r="22" spans="1:6">
      <c r="A22" s="2" t="s">
        <v>145</v>
      </c>
      <c r="B22" s="2" t="s">
        <v>146</v>
      </c>
      <c r="C22" s="2" t="s">
        <v>147</v>
      </c>
      <c r="F22" s="2" t="s">
        <v>17</v>
      </c>
    </row>
    <row r="23" spans="1:6">
      <c r="A23" s="3" t="s">
        <v>23</v>
      </c>
      <c r="B23" s="3">
        <v>1200</v>
      </c>
      <c r="C23" s="3">
        <f>B23^3</f>
        <v>1728000000</v>
      </c>
      <c r="F23" s="4" t="s">
        <v>101</v>
      </c>
    </row>
    <row r="24" spans="1:6">
      <c r="A24" s="3" t="s">
        <v>24</v>
      </c>
      <c r="B24" s="3">
        <v>1500</v>
      </c>
      <c r="C24" s="3">
        <f>B24^3</f>
        <v>3375000000</v>
      </c>
    </row>
    <row r="25" spans="1:6">
      <c r="A25" s="3" t="s">
        <v>25</v>
      </c>
      <c r="B25" s="3">
        <v>1000</v>
      </c>
      <c r="C25" s="3">
        <f>B25^3</f>
        <v>1000000000</v>
      </c>
    </row>
    <row r="26" spans="1:6">
      <c r="A26" s="3" t="s">
        <v>26</v>
      </c>
      <c r="B26" s="3">
        <v>1800</v>
      </c>
      <c r="C26" s="3">
        <f>B26^3</f>
        <v>5832000000</v>
      </c>
    </row>
    <row r="27" spans="1:6">
      <c r="A27" s="3" t="s">
        <v>99</v>
      </c>
      <c r="B27" s="3">
        <v>1300</v>
      </c>
      <c r="C27" s="3">
        <f>B27 ^ 3</f>
        <v>2197000000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9620-5E15-4490-A0F6-717A03E04224}">
  <sheetPr codeName="Sheet8"/>
  <dimension ref="A4:G30"/>
  <sheetViews>
    <sheetView topLeftCell="A7" workbookViewId="0">
      <selection activeCell="G21" sqref="G21:G24"/>
    </sheetView>
  </sheetViews>
  <sheetFormatPr defaultRowHeight="14.4"/>
  <cols>
    <col min="1" max="1" width="15.33203125" bestFit="1" customWidth="1"/>
    <col min="2" max="2" width="22" customWidth="1"/>
    <col min="3" max="3" width="14" bestFit="1" customWidth="1"/>
    <col min="7" max="7" width="24.5546875" bestFit="1" customWidth="1"/>
  </cols>
  <sheetData>
    <row r="4" spans="1:3">
      <c r="A4" s="1" t="s">
        <v>179</v>
      </c>
    </row>
    <row r="10" spans="1:3">
      <c r="A10" s="1" t="s">
        <v>148</v>
      </c>
    </row>
    <row r="12" spans="1:3">
      <c r="C12" t="s">
        <v>17</v>
      </c>
    </row>
    <row r="13" spans="1:3">
      <c r="A13" s="8">
        <f ca="1">TODAY()</f>
        <v>46113</v>
      </c>
      <c r="C13" s="4" t="s">
        <v>149</v>
      </c>
    </row>
    <row r="14" spans="1:3">
      <c r="A14" s="9">
        <f ca="1">NOW()</f>
        <v>46113.841903125001</v>
      </c>
      <c r="C14" s="4" t="s">
        <v>150</v>
      </c>
    </row>
    <row r="17" spans="1:7">
      <c r="A17" s="1" t="s">
        <v>151</v>
      </c>
    </row>
    <row r="18" spans="1:7">
      <c r="A18" t="s">
        <v>152</v>
      </c>
    </row>
    <row r="20" spans="1:7">
      <c r="A20" s="3" t="s">
        <v>153</v>
      </c>
      <c r="B20" s="3" t="s">
        <v>105</v>
      </c>
      <c r="C20" s="3" t="s">
        <v>154</v>
      </c>
      <c r="E20" s="2" t="s">
        <v>16</v>
      </c>
      <c r="G20" s="3" t="s">
        <v>17</v>
      </c>
    </row>
    <row r="21" spans="1:7">
      <c r="A21" s="3" t="s">
        <v>155</v>
      </c>
      <c r="B21" t="s">
        <v>165</v>
      </c>
      <c r="C21">
        <v>120000</v>
      </c>
      <c r="E21">
        <f>AVERAGE(C21:C30)</f>
        <v>294605</v>
      </c>
      <c r="G21" s="10" t="s">
        <v>175</v>
      </c>
    </row>
    <row r="22" spans="1:7">
      <c r="A22" s="3" t="s">
        <v>156</v>
      </c>
      <c r="B22" t="s">
        <v>166</v>
      </c>
      <c r="C22">
        <v>21000</v>
      </c>
      <c r="E22">
        <f>MAX(C21:C30)</f>
        <v>1000000</v>
      </c>
      <c r="G22" s="10" t="s">
        <v>176</v>
      </c>
    </row>
    <row r="23" spans="1:7">
      <c r="A23" s="3" t="s">
        <v>157</v>
      </c>
      <c r="B23" t="s">
        <v>167</v>
      </c>
      <c r="C23">
        <v>500000</v>
      </c>
      <c r="E23">
        <f>MIN(C21:C30)</f>
        <v>21000</v>
      </c>
      <c r="G23" s="10" t="s">
        <v>177</v>
      </c>
    </row>
    <row r="24" spans="1:7">
      <c r="A24" s="3" t="s">
        <v>158</v>
      </c>
      <c r="B24" t="s">
        <v>168</v>
      </c>
      <c r="C24">
        <v>120000</v>
      </c>
      <c r="E24">
        <f>COUNT(C21:C30)</f>
        <v>10</v>
      </c>
      <c r="G24" s="10" t="s">
        <v>178</v>
      </c>
    </row>
    <row r="25" spans="1:7">
      <c r="A25" s="3" t="s">
        <v>159</v>
      </c>
      <c r="B25" t="s">
        <v>169</v>
      </c>
      <c r="C25">
        <v>506000</v>
      </c>
    </row>
    <row r="26" spans="1:7">
      <c r="A26" s="3" t="s">
        <v>160</v>
      </c>
      <c r="B26" t="s">
        <v>170</v>
      </c>
      <c r="C26">
        <v>410000</v>
      </c>
    </row>
    <row r="27" spans="1:7">
      <c r="A27" s="3" t="s">
        <v>161</v>
      </c>
      <c r="B27" t="s">
        <v>171</v>
      </c>
      <c r="C27">
        <v>1000000</v>
      </c>
    </row>
    <row r="28" spans="1:7">
      <c r="A28" s="3" t="s">
        <v>162</v>
      </c>
      <c r="B28" t="s">
        <v>172</v>
      </c>
      <c r="C28">
        <v>41040</v>
      </c>
    </row>
    <row r="29" spans="1:7">
      <c r="A29" s="3" t="s">
        <v>163</v>
      </c>
      <c r="B29" t="s">
        <v>173</v>
      </c>
      <c r="C29">
        <v>124000</v>
      </c>
    </row>
    <row r="30" spans="1:7">
      <c r="A30" s="3" t="s">
        <v>164</v>
      </c>
      <c r="B30" t="s">
        <v>174</v>
      </c>
      <c r="C30">
        <v>104010</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3815C-E6A8-4A39-B636-87B889E63157}">
  <sheetPr codeName="Sheet9"/>
  <dimension ref="A4:L31"/>
  <sheetViews>
    <sheetView topLeftCell="AF17" workbookViewId="0">
      <selection activeCell="A21" sqref="A21:G31"/>
    </sheetView>
  </sheetViews>
  <sheetFormatPr defaultRowHeight="14.4"/>
  <cols>
    <col min="2" max="2" width="15.44140625" bestFit="1" customWidth="1"/>
    <col min="10" max="10" width="11" bestFit="1" customWidth="1"/>
  </cols>
  <sheetData>
    <row r="4" spans="1:7">
      <c r="A4" s="1" t="s">
        <v>179</v>
      </c>
    </row>
    <row r="8" spans="1:7">
      <c r="A8" s="1" t="s">
        <v>180</v>
      </c>
    </row>
    <row r="10" spans="1:7">
      <c r="A10" s="2" t="s">
        <v>104</v>
      </c>
      <c r="B10" s="2" t="s">
        <v>105</v>
      </c>
      <c r="C10" s="2" t="s">
        <v>106</v>
      </c>
      <c r="D10" s="2" t="s">
        <v>107</v>
      </c>
      <c r="E10" s="2" t="s">
        <v>16</v>
      </c>
      <c r="G10" s="11" t="s">
        <v>17</v>
      </c>
    </row>
    <row r="11" spans="1:7">
      <c r="A11" s="3">
        <v>1</v>
      </c>
      <c r="B11" s="3" t="s">
        <v>4</v>
      </c>
      <c r="C11" s="3">
        <v>66</v>
      </c>
      <c r="D11" s="3">
        <v>90</v>
      </c>
      <c r="E11" t="str" cm="1">
        <f t="array" ref="E11">_xlfn.IFS(C11&gt;=90,"A", C11&gt;=80,"B", C11&gt;=70,"C", C11&gt;=60,"D", C11&gt;=50,"E", C11&lt;50,"F")</f>
        <v>D</v>
      </c>
      <c r="G11" s="4" t="s">
        <v>201</v>
      </c>
    </row>
    <row r="12" spans="1:7">
      <c r="A12" s="3">
        <v>2</v>
      </c>
      <c r="B12" s="3" t="s">
        <v>5</v>
      </c>
      <c r="C12" s="3">
        <v>88</v>
      </c>
      <c r="D12" s="3">
        <v>80</v>
      </c>
      <c r="E12" t="str" cm="1">
        <f t="array" ref="E12">_xlfn.IFS(C12&gt;=90,"A", C12&gt;=80,"B", C12&gt;=70,"C", C12&gt;=60,"D", C12&gt;=50,"E", C12&lt;50,"F")</f>
        <v>B</v>
      </c>
    </row>
    <row r="13" spans="1:7">
      <c r="A13" s="3">
        <v>3</v>
      </c>
      <c r="B13" s="3" t="s">
        <v>6</v>
      </c>
      <c r="C13" s="3">
        <v>77</v>
      </c>
      <c r="D13" s="3">
        <v>70</v>
      </c>
      <c r="E13" t="str" cm="1">
        <f t="array" ref="E13">_xlfn.IFS(C13&gt;=90,"A", C13&gt;=80,"B", C13&gt;=70,"C", C13&gt;=60,"D", C13&gt;=50,"E", C13&lt;50,"F")</f>
        <v>C</v>
      </c>
    </row>
    <row r="14" spans="1:7">
      <c r="A14" s="3">
        <v>4</v>
      </c>
      <c r="B14" s="3" t="s">
        <v>7</v>
      </c>
      <c r="C14" s="3">
        <v>99</v>
      </c>
      <c r="D14" s="3">
        <v>60</v>
      </c>
      <c r="E14" t="str" cm="1">
        <f t="array" ref="E14">_xlfn.IFS(C14&gt;=90,"A", C14&gt;=80,"B", C14&gt;=70,"C", C14&gt;=60,"D", C14&gt;=50,"E", C14&lt;50,"F")</f>
        <v>A</v>
      </c>
    </row>
    <row r="15" spans="1:7">
      <c r="A15" s="3">
        <v>5</v>
      </c>
      <c r="B15" s="3" t="s">
        <v>8</v>
      </c>
      <c r="C15" s="3">
        <v>55</v>
      </c>
      <c r="D15" s="3">
        <v>50</v>
      </c>
      <c r="E15" t="str" cm="1">
        <f t="array" ref="E15">_xlfn.IFS(C15&gt;=90,"A", C15&gt;=80,"B", C15&gt;=70,"C", C15&gt;=60,"D", C15&gt;=50,"E", C15&lt;50,"F")</f>
        <v>E</v>
      </c>
    </row>
    <row r="16" spans="1:7">
      <c r="A16" s="3">
        <v>6</v>
      </c>
      <c r="B16" s="3" t="s">
        <v>9</v>
      </c>
      <c r="C16" s="3">
        <v>44</v>
      </c>
      <c r="D16" s="3">
        <v>40</v>
      </c>
      <c r="E16" t="str" cm="1">
        <f t="array" ref="E16">_xlfn.IFS(C16&gt;=90,"A", C16&gt;=80,"B", C16&gt;=70,"C", C16&gt;=60,"D", C16&gt;=50,"E", C16&lt;50,"F")</f>
        <v>F</v>
      </c>
    </row>
    <row r="19" spans="1:12">
      <c r="A19" s="1" t="s">
        <v>181</v>
      </c>
    </row>
    <row r="21" spans="1:12">
      <c r="A21" s="3" t="s">
        <v>182</v>
      </c>
      <c r="B21" s="3" t="s">
        <v>105</v>
      </c>
      <c r="C21" s="3" t="s">
        <v>183</v>
      </c>
      <c r="D21" s="3" t="s">
        <v>184</v>
      </c>
      <c r="E21" s="3" t="s">
        <v>185</v>
      </c>
      <c r="F21" s="3" t="s">
        <v>12</v>
      </c>
      <c r="G21" s="3" t="s">
        <v>186</v>
      </c>
      <c r="I21" s="2" t="s">
        <v>197</v>
      </c>
      <c r="J21" s="2" t="s">
        <v>198</v>
      </c>
      <c r="K21" s="2" t="s">
        <v>199</v>
      </c>
      <c r="L21" s="2" t="s">
        <v>200</v>
      </c>
    </row>
    <row r="22" spans="1:12">
      <c r="A22">
        <v>201</v>
      </c>
      <c r="B22" t="s">
        <v>187</v>
      </c>
      <c r="C22">
        <v>70</v>
      </c>
      <c r="D22">
        <v>79.89</v>
      </c>
      <c r="E22">
        <v>75</v>
      </c>
      <c r="F22">
        <v>83</v>
      </c>
      <c r="G22">
        <v>70</v>
      </c>
      <c r="I22">
        <f>SUM(C22:G22)</f>
        <v>377.89</v>
      </c>
      <c r="J22">
        <f>PRODUCT(C22:G22)</f>
        <v>2436844725</v>
      </c>
      <c r="K22">
        <f>ROUND(D22, 0)</f>
        <v>80</v>
      </c>
      <c r="L22">
        <f>POWER(C22, 2)</f>
        <v>4900</v>
      </c>
    </row>
    <row r="23" spans="1:12">
      <c r="A23">
        <v>202</v>
      </c>
      <c r="B23" t="s">
        <v>188</v>
      </c>
      <c r="C23">
        <v>65</v>
      </c>
      <c r="D23">
        <v>86.12</v>
      </c>
      <c r="E23">
        <v>69</v>
      </c>
      <c r="F23">
        <v>78</v>
      </c>
      <c r="G23">
        <v>72</v>
      </c>
      <c r="I23">
        <f>SUM(C23:G23)</f>
        <v>370.12</v>
      </c>
      <c r="J23">
        <f>PRODUCT(C23:G23)</f>
        <v>2169169891.2000003</v>
      </c>
      <c r="K23">
        <f>ROUND(D23, 0)</f>
        <v>86</v>
      </c>
      <c r="L23">
        <f t="shared" ref="L23:L31" si="0">POWER(C23, 2)</f>
        <v>4225</v>
      </c>
    </row>
    <row r="24" spans="1:12">
      <c r="A24">
        <v>203</v>
      </c>
      <c r="B24" t="s">
        <v>189</v>
      </c>
      <c r="C24">
        <v>70</v>
      </c>
      <c r="D24">
        <v>79</v>
      </c>
      <c r="E24">
        <v>77.12</v>
      </c>
      <c r="F24">
        <v>71.08</v>
      </c>
      <c r="G24">
        <v>75.06</v>
      </c>
      <c r="I24">
        <f t="shared" ref="I24:I31" si="1">SUM(C24:G24)</f>
        <v>372.26</v>
      </c>
      <c r="J24">
        <f t="shared" ref="J24:J31" si="2">PRODUCT(C24:G24)</f>
        <v>2275349586.20928</v>
      </c>
      <c r="K24">
        <f t="shared" ref="K24:K31" si="3">ROUND(D24, 0)</f>
        <v>79</v>
      </c>
      <c r="L24">
        <f t="shared" si="0"/>
        <v>4900</v>
      </c>
    </row>
    <row r="25" spans="1:12">
      <c r="A25">
        <v>204</v>
      </c>
      <c r="B25" t="s">
        <v>190</v>
      </c>
      <c r="C25">
        <v>50</v>
      </c>
      <c r="D25">
        <v>69.760000000000005</v>
      </c>
      <c r="E25">
        <v>95.13</v>
      </c>
      <c r="F25">
        <v>78.510000000000005</v>
      </c>
      <c r="G25">
        <v>86.22</v>
      </c>
      <c r="I25">
        <f t="shared" si="1"/>
        <v>379.62</v>
      </c>
      <c r="J25">
        <f t="shared" si="2"/>
        <v>2246089041.0967679</v>
      </c>
      <c r="K25">
        <f t="shared" si="3"/>
        <v>70</v>
      </c>
      <c r="L25">
        <f t="shared" si="0"/>
        <v>2500</v>
      </c>
    </row>
    <row r="26" spans="1:12">
      <c r="A26">
        <v>205</v>
      </c>
      <c r="B26" t="s">
        <v>191</v>
      </c>
      <c r="C26">
        <v>80</v>
      </c>
      <c r="D26">
        <v>90.99</v>
      </c>
      <c r="E26">
        <v>78.84</v>
      </c>
      <c r="F26">
        <v>80</v>
      </c>
      <c r="G26">
        <v>93</v>
      </c>
      <c r="I26">
        <f t="shared" si="1"/>
        <v>422.83000000000004</v>
      </c>
      <c r="J26">
        <f t="shared" si="2"/>
        <v>4269757432.3200002</v>
      </c>
      <c r="K26">
        <f t="shared" si="3"/>
        <v>91</v>
      </c>
      <c r="L26">
        <f t="shared" si="0"/>
        <v>6400</v>
      </c>
    </row>
    <row r="27" spans="1:12">
      <c r="A27">
        <v>206</v>
      </c>
      <c r="B27" t="s">
        <v>192</v>
      </c>
      <c r="C27">
        <v>99</v>
      </c>
      <c r="D27">
        <v>100</v>
      </c>
      <c r="E27">
        <v>97</v>
      </c>
      <c r="F27">
        <v>99</v>
      </c>
      <c r="G27">
        <v>93</v>
      </c>
      <c r="I27">
        <f t="shared" si="1"/>
        <v>488</v>
      </c>
      <c r="J27">
        <f t="shared" si="2"/>
        <v>8841482100</v>
      </c>
      <c r="K27">
        <f t="shared" si="3"/>
        <v>100</v>
      </c>
      <c r="L27">
        <f t="shared" si="0"/>
        <v>9801</v>
      </c>
    </row>
    <row r="28" spans="1:12">
      <c r="A28">
        <v>207</v>
      </c>
      <c r="B28" t="s">
        <v>193</v>
      </c>
      <c r="C28">
        <v>85</v>
      </c>
      <c r="D28">
        <v>79.05</v>
      </c>
      <c r="E28">
        <v>87.63</v>
      </c>
      <c r="F28">
        <v>78.52</v>
      </c>
      <c r="G28">
        <v>91</v>
      </c>
      <c r="I28">
        <f t="shared" si="1"/>
        <v>421.2</v>
      </c>
      <c r="J28">
        <f t="shared" si="2"/>
        <v>4207220703.2582994</v>
      </c>
      <c r="K28">
        <f t="shared" si="3"/>
        <v>79</v>
      </c>
      <c r="L28">
        <f t="shared" si="0"/>
        <v>7225</v>
      </c>
    </row>
    <row r="29" spans="1:12">
      <c r="A29">
        <v>208</v>
      </c>
      <c r="B29" t="s">
        <v>194</v>
      </c>
      <c r="C29">
        <v>70</v>
      </c>
      <c r="D29">
        <v>97.15</v>
      </c>
      <c r="E29">
        <v>91.32</v>
      </c>
      <c r="F29">
        <v>82.34</v>
      </c>
      <c r="G29">
        <v>89.43</v>
      </c>
      <c r="I29">
        <f t="shared" si="1"/>
        <v>430.24000000000007</v>
      </c>
      <c r="J29">
        <f t="shared" si="2"/>
        <v>4572996207.2098923</v>
      </c>
      <c r="K29">
        <f t="shared" si="3"/>
        <v>97</v>
      </c>
      <c r="L29">
        <f t="shared" si="0"/>
        <v>4900</v>
      </c>
    </row>
    <row r="30" spans="1:12">
      <c r="A30">
        <v>209</v>
      </c>
      <c r="B30" t="s">
        <v>195</v>
      </c>
      <c r="C30">
        <v>78</v>
      </c>
      <c r="D30">
        <v>88.81</v>
      </c>
      <c r="E30">
        <v>60</v>
      </c>
      <c r="F30">
        <v>73.319999999999993</v>
      </c>
      <c r="G30">
        <v>81.52</v>
      </c>
      <c r="I30">
        <f t="shared" si="1"/>
        <v>381.65</v>
      </c>
      <c r="J30">
        <f t="shared" si="2"/>
        <v>2484244576.8691201</v>
      </c>
      <c r="K30">
        <f t="shared" si="3"/>
        <v>89</v>
      </c>
      <c r="L30">
        <f t="shared" si="0"/>
        <v>6084</v>
      </c>
    </row>
    <row r="31" spans="1:12">
      <c r="A31">
        <v>210</v>
      </c>
      <c r="B31" t="s">
        <v>196</v>
      </c>
      <c r="C31">
        <v>88.98</v>
      </c>
      <c r="D31">
        <v>70.709999999999994</v>
      </c>
      <c r="E31">
        <v>80</v>
      </c>
      <c r="F31">
        <v>87.32</v>
      </c>
      <c r="G31">
        <v>89.22</v>
      </c>
      <c r="I31">
        <f t="shared" si="1"/>
        <v>416.23</v>
      </c>
      <c r="J31">
        <f t="shared" si="2"/>
        <v>3921382185.9209847</v>
      </c>
      <c r="K31">
        <f t="shared" si="3"/>
        <v>71</v>
      </c>
      <c r="L31">
        <f t="shared" si="0"/>
        <v>7917.4404000000004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DDA-1347-4FFA-A533-145EB3E8C125}">
  <sheetPr codeName="Sheet10"/>
  <dimension ref="A4:N31"/>
  <sheetViews>
    <sheetView topLeftCell="A16" workbookViewId="0">
      <selection activeCell="N26" sqref="N26"/>
    </sheetView>
  </sheetViews>
  <sheetFormatPr defaultRowHeight="14.4"/>
  <cols>
    <col min="1" max="1" width="15.33203125" bestFit="1" customWidth="1"/>
    <col min="2" max="2" width="22" customWidth="1"/>
    <col min="3" max="3" width="14" bestFit="1" customWidth="1"/>
    <col min="7" max="7" width="13.33203125" customWidth="1"/>
    <col min="14" max="14" width="24.5546875" bestFit="1" customWidth="1"/>
  </cols>
  <sheetData>
    <row r="4" spans="1:3">
      <c r="A4" s="1" t="s">
        <v>206</v>
      </c>
    </row>
    <row r="10" spans="1:3">
      <c r="A10" s="1" t="s">
        <v>148</v>
      </c>
    </row>
    <row r="12" spans="1:3">
      <c r="C12" t="s">
        <v>17</v>
      </c>
    </row>
    <row r="13" spans="1:3">
      <c r="A13" s="8">
        <f ca="1">TODAY()</f>
        <v>46113</v>
      </c>
      <c r="C13" s="4" t="s">
        <v>149</v>
      </c>
    </row>
    <row r="14" spans="1:3">
      <c r="A14" s="9">
        <f ca="1">NOW()</f>
        <v>46113.841903125001</v>
      </c>
      <c r="C14" s="4" t="s">
        <v>150</v>
      </c>
    </row>
    <row r="17" spans="1:14">
      <c r="A17" s="1" t="s">
        <v>151</v>
      </c>
    </row>
    <row r="18" spans="1:14">
      <c r="A18" t="s">
        <v>152</v>
      </c>
    </row>
    <row r="20" spans="1:14">
      <c r="A20" s="3"/>
      <c r="B20" s="3"/>
      <c r="C20" s="3"/>
      <c r="E20" s="2"/>
      <c r="G20" s="3"/>
    </row>
    <row r="21" spans="1:14">
      <c r="A21" s="3" t="s">
        <v>182</v>
      </c>
      <c r="B21" s="3" t="s">
        <v>105</v>
      </c>
      <c r="C21" s="3" t="s">
        <v>183</v>
      </c>
      <c r="D21" s="3" t="s">
        <v>184</v>
      </c>
      <c r="E21" s="3" t="s">
        <v>185</v>
      </c>
      <c r="F21" s="3" t="s">
        <v>12</v>
      </c>
      <c r="G21" s="3" t="s">
        <v>186</v>
      </c>
      <c r="I21" s="2" t="s">
        <v>202</v>
      </c>
      <c r="J21" s="2" t="s">
        <v>203</v>
      </c>
      <c r="K21" s="2" t="s">
        <v>204</v>
      </c>
      <c r="L21" s="2" t="s">
        <v>205</v>
      </c>
      <c r="N21" s="2" t="s">
        <v>207</v>
      </c>
    </row>
    <row r="22" spans="1:14">
      <c r="A22" s="3">
        <v>201</v>
      </c>
      <c r="B22" s="3" t="s">
        <v>187</v>
      </c>
      <c r="C22" s="3">
        <v>70</v>
      </c>
      <c r="D22" s="3">
        <v>79.89</v>
      </c>
      <c r="E22" s="3">
        <v>75</v>
      </c>
      <c r="F22" s="3">
        <v>83</v>
      </c>
      <c r="G22" s="3">
        <v>70</v>
      </c>
      <c r="I22">
        <f>AVERAGE(C22:G22)</f>
        <v>75.578000000000003</v>
      </c>
      <c r="J22">
        <f>MIN(C22:G22)</f>
        <v>70</v>
      </c>
      <c r="K22">
        <f>MAX(C22:G22)</f>
        <v>83</v>
      </c>
      <c r="L22">
        <f>COUNT(C22:G22)</f>
        <v>5</v>
      </c>
      <c r="N22" s="10" t="s">
        <v>208</v>
      </c>
    </row>
    <row r="23" spans="1:14">
      <c r="A23" s="3">
        <v>202</v>
      </c>
      <c r="B23" s="3" t="s">
        <v>188</v>
      </c>
      <c r="C23" s="3">
        <v>65</v>
      </c>
      <c r="D23" s="3">
        <v>86.12</v>
      </c>
      <c r="E23" s="3">
        <v>69</v>
      </c>
      <c r="F23" s="3">
        <v>78</v>
      </c>
      <c r="G23" s="3">
        <v>72</v>
      </c>
      <c r="I23">
        <f t="shared" ref="I23:I31" si="0">AVERAGE(C23:G23)</f>
        <v>74.024000000000001</v>
      </c>
      <c r="J23">
        <f t="shared" ref="J23:J31" si="1">MIN(C23:G23)</f>
        <v>65</v>
      </c>
      <c r="K23">
        <f t="shared" ref="K23:K31" si="2">MAX(C23:G23)</f>
        <v>86.12</v>
      </c>
      <c r="L23">
        <f t="shared" ref="L23:L31" si="3">COUNT(C23:G23)</f>
        <v>5</v>
      </c>
      <c r="N23" s="10" t="s">
        <v>209</v>
      </c>
    </row>
    <row r="24" spans="1:14">
      <c r="A24" s="3">
        <v>203</v>
      </c>
      <c r="B24" s="3" t="s">
        <v>189</v>
      </c>
      <c r="C24" s="3">
        <v>70</v>
      </c>
      <c r="D24" s="3">
        <v>79</v>
      </c>
      <c r="E24" s="3">
        <v>77.12</v>
      </c>
      <c r="F24" s="3">
        <v>71.08</v>
      </c>
      <c r="G24" s="3">
        <v>75.06</v>
      </c>
      <c r="I24">
        <f t="shared" si="0"/>
        <v>74.451999999999998</v>
      </c>
      <c r="J24">
        <f t="shared" si="1"/>
        <v>70</v>
      </c>
      <c r="K24">
        <f t="shared" si="2"/>
        <v>79</v>
      </c>
      <c r="L24">
        <f t="shared" si="3"/>
        <v>5</v>
      </c>
      <c r="N24" s="10" t="s">
        <v>210</v>
      </c>
    </row>
    <row r="25" spans="1:14">
      <c r="A25" s="3">
        <v>204</v>
      </c>
      <c r="B25" s="3" t="s">
        <v>190</v>
      </c>
      <c r="C25" s="3">
        <v>50</v>
      </c>
      <c r="D25" s="3">
        <v>69.760000000000005</v>
      </c>
      <c r="E25" s="3">
        <v>95.13</v>
      </c>
      <c r="F25" s="3">
        <v>78.510000000000005</v>
      </c>
      <c r="G25" s="3">
        <v>86.22</v>
      </c>
      <c r="I25">
        <f t="shared" si="0"/>
        <v>75.924000000000007</v>
      </c>
      <c r="J25">
        <f t="shared" si="1"/>
        <v>50</v>
      </c>
      <c r="K25">
        <f t="shared" si="2"/>
        <v>95.13</v>
      </c>
      <c r="L25">
        <f t="shared" si="3"/>
        <v>5</v>
      </c>
      <c r="N25" s="10" t="s">
        <v>211</v>
      </c>
    </row>
    <row r="26" spans="1:14">
      <c r="A26" s="3">
        <v>205</v>
      </c>
      <c r="B26" s="3" t="s">
        <v>191</v>
      </c>
      <c r="C26" s="3">
        <v>80</v>
      </c>
      <c r="D26" s="3">
        <v>90.99</v>
      </c>
      <c r="E26" s="3">
        <v>78.84</v>
      </c>
      <c r="F26" s="3">
        <v>80</v>
      </c>
      <c r="G26" s="3">
        <v>93</v>
      </c>
      <c r="I26">
        <f t="shared" si="0"/>
        <v>84.566000000000003</v>
      </c>
      <c r="J26">
        <f t="shared" si="1"/>
        <v>78.84</v>
      </c>
      <c r="K26">
        <f t="shared" si="2"/>
        <v>93</v>
      </c>
      <c r="L26">
        <f t="shared" si="3"/>
        <v>5</v>
      </c>
    </row>
    <row r="27" spans="1:14">
      <c r="A27" s="3">
        <v>206</v>
      </c>
      <c r="B27" s="3" t="s">
        <v>192</v>
      </c>
      <c r="C27" s="3">
        <v>99</v>
      </c>
      <c r="D27" s="3">
        <v>100</v>
      </c>
      <c r="E27" s="3">
        <v>97</v>
      </c>
      <c r="F27" s="3">
        <v>99</v>
      </c>
      <c r="G27" s="3">
        <v>93</v>
      </c>
      <c r="I27">
        <f t="shared" si="0"/>
        <v>97.6</v>
      </c>
      <c r="J27">
        <f t="shared" si="1"/>
        <v>93</v>
      </c>
      <c r="K27">
        <f t="shared" si="2"/>
        <v>100</v>
      </c>
      <c r="L27">
        <f t="shared" si="3"/>
        <v>5</v>
      </c>
    </row>
    <row r="28" spans="1:14">
      <c r="A28" s="3">
        <v>207</v>
      </c>
      <c r="B28" s="3" t="s">
        <v>193</v>
      </c>
      <c r="C28" s="3">
        <v>85</v>
      </c>
      <c r="D28" s="3">
        <v>79.05</v>
      </c>
      <c r="E28" s="3">
        <v>87.63</v>
      </c>
      <c r="F28" s="3">
        <v>78.52</v>
      </c>
      <c r="G28" s="3">
        <v>91</v>
      </c>
      <c r="I28">
        <f t="shared" si="0"/>
        <v>84.24</v>
      </c>
      <c r="J28">
        <f t="shared" si="1"/>
        <v>78.52</v>
      </c>
      <c r="K28">
        <f t="shared" si="2"/>
        <v>91</v>
      </c>
      <c r="L28">
        <f t="shared" si="3"/>
        <v>5</v>
      </c>
    </row>
    <row r="29" spans="1:14">
      <c r="A29" s="3">
        <v>208</v>
      </c>
      <c r="B29" s="3" t="s">
        <v>194</v>
      </c>
      <c r="C29" s="3">
        <v>70</v>
      </c>
      <c r="D29" s="3">
        <v>97.15</v>
      </c>
      <c r="E29" s="3">
        <v>91.32</v>
      </c>
      <c r="F29" s="3">
        <v>82.34</v>
      </c>
      <c r="G29" s="3">
        <v>89.43</v>
      </c>
      <c r="I29">
        <f t="shared" si="0"/>
        <v>86.048000000000016</v>
      </c>
      <c r="J29">
        <f t="shared" si="1"/>
        <v>70</v>
      </c>
      <c r="K29">
        <f t="shared" si="2"/>
        <v>97.15</v>
      </c>
      <c r="L29">
        <f t="shared" si="3"/>
        <v>5</v>
      </c>
    </row>
    <row r="30" spans="1:14">
      <c r="A30" s="3">
        <v>209</v>
      </c>
      <c r="B30" s="3" t="s">
        <v>195</v>
      </c>
      <c r="C30" s="3">
        <v>78</v>
      </c>
      <c r="D30" s="3">
        <v>88.81</v>
      </c>
      <c r="E30" s="3">
        <v>60</v>
      </c>
      <c r="F30" s="3">
        <v>73.319999999999993</v>
      </c>
      <c r="G30" s="3">
        <v>81.52</v>
      </c>
      <c r="I30">
        <f t="shared" si="0"/>
        <v>76.33</v>
      </c>
      <c r="J30">
        <f t="shared" si="1"/>
        <v>60</v>
      </c>
      <c r="K30">
        <f t="shared" si="2"/>
        <v>88.81</v>
      </c>
      <c r="L30">
        <f t="shared" si="3"/>
        <v>5</v>
      </c>
    </row>
    <row r="31" spans="1:14">
      <c r="A31" s="3">
        <v>210</v>
      </c>
      <c r="B31" s="3" t="s">
        <v>196</v>
      </c>
      <c r="C31" s="3">
        <v>88.98</v>
      </c>
      <c r="D31" s="3">
        <v>70.709999999999994</v>
      </c>
      <c r="E31" s="3">
        <v>80</v>
      </c>
      <c r="F31" s="3">
        <v>87.32</v>
      </c>
      <c r="G31" s="3">
        <v>89.22</v>
      </c>
      <c r="I31">
        <f t="shared" si="0"/>
        <v>83.246000000000009</v>
      </c>
      <c r="J31">
        <f t="shared" si="1"/>
        <v>70.709999999999994</v>
      </c>
      <c r="K31">
        <f t="shared" si="2"/>
        <v>89.22</v>
      </c>
      <c r="L31">
        <f t="shared" si="3"/>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DDCC-1861-4F3F-AD37-47A4242D230D}">
  <sheetPr codeName="Sheet11"/>
  <dimension ref="A5:G26"/>
  <sheetViews>
    <sheetView workbookViewId="0">
      <selection activeCell="A10" sqref="A10:A11"/>
    </sheetView>
  </sheetViews>
  <sheetFormatPr defaultRowHeight="14.4"/>
  <cols>
    <col min="1" max="1" width="15.33203125" bestFit="1" customWidth="1"/>
    <col min="2" max="2" width="6.33203125" bestFit="1" customWidth="1"/>
    <col min="3" max="3" width="15.44140625" bestFit="1" customWidth="1"/>
    <col min="4" max="4" width="9.21875" customWidth="1"/>
    <col min="5" max="5" width="12" bestFit="1" customWidth="1"/>
    <col min="7" max="7" width="22.109375" bestFit="1" customWidth="1"/>
  </cols>
  <sheetData>
    <row r="5" spans="1:7">
      <c r="A5" s="1" t="s">
        <v>212</v>
      </c>
    </row>
    <row r="8" spans="1:7">
      <c r="A8" s="1" t="s">
        <v>213</v>
      </c>
      <c r="G8" s="14" t="s">
        <v>17</v>
      </c>
    </row>
    <row r="9" spans="1:7">
      <c r="G9" s="13" t="s">
        <v>215</v>
      </c>
    </row>
    <row r="10" spans="1:7">
      <c r="A10" s="12">
        <f>TIME(1,2,4)</f>
        <v>4.310185185185185E-2</v>
      </c>
      <c r="G10" s="13" t="s">
        <v>216</v>
      </c>
    </row>
    <row r="11" spans="1:7">
      <c r="A11" s="9">
        <f ca="1">NOW()</f>
        <v>46113.841903125001</v>
      </c>
    </row>
    <row r="15" spans="1:7">
      <c r="A15" s="1" t="s">
        <v>214</v>
      </c>
    </row>
    <row r="16" spans="1:7">
      <c r="B16" s="3" t="s">
        <v>182</v>
      </c>
      <c r="C16" s="3" t="s">
        <v>105</v>
      </c>
      <c r="D16" s="3" t="s">
        <v>154</v>
      </c>
      <c r="E16" s="2" t="s">
        <v>16</v>
      </c>
      <c r="G16" s="14" t="s">
        <v>17</v>
      </c>
    </row>
    <row r="17" spans="2:7">
      <c r="B17" s="3">
        <v>201</v>
      </c>
      <c r="C17" s="3" t="s">
        <v>187</v>
      </c>
      <c r="D17" s="3">
        <v>70000</v>
      </c>
      <c r="E17">
        <f>SUM(D17:D26)</f>
        <v>612000.1</v>
      </c>
      <c r="G17" s="13" t="s">
        <v>217</v>
      </c>
    </row>
    <row r="18" spans="2:7">
      <c r="B18" s="3">
        <v>202</v>
      </c>
      <c r="C18" s="3" t="s">
        <v>188</v>
      </c>
      <c r="D18" s="3">
        <v>65000</v>
      </c>
      <c r="E18">
        <f>PRODUCT(B17:B26)</f>
        <v>1.3418191166447626E+23</v>
      </c>
      <c r="G18" s="13" t="s">
        <v>218</v>
      </c>
    </row>
    <row r="19" spans="2:7">
      <c r="B19" s="3">
        <v>203</v>
      </c>
      <c r="C19" s="3" t="s">
        <v>189</v>
      </c>
      <c r="D19" s="3">
        <v>50000</v>
      </c>
      <c r="E19">
        <f>ROUND(D22, 0)</f>
        <v>100000</v>
      </c>
      <c r="G19" s="13" t="s">
        <v>219</v>
      </c>
    </row>
    <row r="20" spans="2:7">
      <c r="B20" s="3">
        <v>204</v>
      </c>
      <c r="C20" s="3" t="s">
        <v>190</v>
      </c>
      <c r="D20" s="3">
        <v>50000</v>
      </c>
      <c r="E20">
        <f>POWER(B20, 2)</f>
        <v>41616</v>
      </c>
      <c r="G20" s="13" t="s">
        <v>220</v>
      </c>
    </row>
    <row r="21" spans="2:7">
      <c r="B21" s="3">
        <v>205</v>
      </c>
      <c r="C21" s="3" t="s">
        <v>191</v>
      </c>
      <c r="D21" s="3">
        <v>60000</v>
      </c>
    </row>
    <row r="22" spans="2:7">
      <c r="B22" s="3">
        <v>206</v>
      </c>
      <c r="C22" s="3" t="s">
        <v>192</v>
      </c>
      <c r="D22" s="3">
        <v>100000.1</v>
      </c>
    </row>
    <row r="23" spans="2:7">
      <c r="B23" s="3">
        <v>207</v>
      </c>
      <c r="C23" s="3" t="s">
        <v>193</v>
      </c>
      <c r="D23" s="3">
        <v>95000</v>
      </c>
    </row>
    <row r="24" spans="2:7">
      <c r="B24" s="3">
        <v>208</v>
      </c>
      <c r="C24" s="3" t="s">
        <v>194</v>
      </c>
      <c r="D24" s="3">
        <v>12000</v>
      </c>
    </row>
    <row r="25" spans="2:7">
      <c r="B25" s="3">
        <v>209</v>
      </c>
      <c r="C25" s="3" t="s">
        <v>195</v>
      </c>
      <c r="D25" s="3">
        <v>50000</v>
      </c>
    </row>
    <row r="26" spans="2:7">
      <c r="B26" s="3">
        <v>210</v>
      </c>
      <c r="C26" s="3" t="s">
        <v>196</v>
      </c>
      <c r="D26" s="3">
        <v>60000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DA861-FD0B-4FE5-94AD-35E54C7738D2}">
  <sheetPr codeName="Sheet12" filterMode="1"/>
  <dimension ref="A4:F69"/>
  <sheetViews>
    <sheetView topLeftCell="A16" zoomScale="85" zoomScaleNormal="85" workbookViewId="0">
      <selection activeCell="F23" sqref="F23"/>
    </sheetView>
  </sheetViews>
  <sheetFormatPr defaultRowHeight="14.4"/>
  <cols>
    <col min="1" max="1" width="12.44140625" customWidth="1"/>
    <col min="2" max="2" width="8.109375" bestFit="1" customWidth="1"/>
    <col min="3" max="3" width="17.88671875" customWidth="1"/>
    <col min="4" max="4" width="10.21875" bestFit="1" customWidth="1"/>
    <col min="5" max="5" width="19.88671875" bestFit="1" customWidth="1"/>
    <col min="6" max="6" width="139.44140625" bestFit="1" customWidth="1"/>
  </cols>
  <sheetData>
    <row r="4" spans="1:6">
      <c r="A4" s="1" t="s">
        <v>221</v>
      </c>
    </row>
    <row r="7" spans="1:6">
      <c r="A7" s="1" t="s">
        <v>222</v>
      </c>
    </row>
    <row r="10" spans="1:6">
      <c r="A10" s="2" t="s">
        <v>223</v>
      </c>
      <c r="B10" s="2" t="s">
        <v>224</v>
      </c>
      <c r="C10" s="1" t="s">
        <v>226</v>
      </c>
      <c r="F10" s="14" t="s">
        <v>17</v>
      </c>
    </row>
    <row r="11" spans="1:6">
      <c r="A11" s="3">
        <v>5</v>
      </c>
      <c r="B11" s="3">
        <v>20</v>
      </c>
      <c r="C11">
        <f t="array" ref="C11">A11:A15*B11:B15</f>
        <v>100</v>
      </c>
      <c r="F11" s="10" t="s">
        <v>227</v>
      </c>
    </row>
    <row r="12" spans="1:6">
      <c r="A12" s="3">
        <v>3</v>
      </c>
      <c r="B12" s="3">
        <v>15</v>
      </c>
      <c r="C12">
        <f t="array" ref="C12">A12:A16*B12:B16</f>
        <v>45</v>
      </c>
    </row>
    <row r="13" spans="1:6">
      <c r="A13" s="3">
        <v>4</v>
      </c>
      <c r="B13" s="3">
        <v>25</v>
      </c>
      <c r="C13">
        <f t="array" ref="C13">A13:A17*B13:B17</f>
        <v>100</v>
      </c>
    </row>
    <row r="14" spans="1:6">
      <c r="A14" s="3">
        <v>1</v>
      </c>
      <c r="B14" s="3">
        <v>40</v>
      </c>
      <c r="C14">
        <f t="array" ref="C14">A14:A18*B14:B18</f>
        <v>40</v>
      </c>
    </row>
    <row r="15" spans="1:6">
      <c r="A15" s="3">
        <v>2</v>
      </c>
      <c r="B15" s="3">
        <v>22</v>
      </c>
      <c r="C15">
        <f t="array" ref="C15">A15:A19*B15:B19</f>
        <v>44</v>
      </c>
    </row>
    <row r="16" spans="1:6">
      <c r="A16" s="2" t="s">
        <v>225</v>
      </c>
      <c r="B16" s="2">
        <f>SUM(B11:B15)</f>
        <v>122</v>
      </c>
    </row>
    <row r="20" spans="2:6">
      <c r="B20" s="2" t="s">
        <v>182</v>
      </c>
      <c r="C20" s="2" t="s">
        <v>105</v>
      </c>
      <c r="D20" s="1" t="s">
        <v>228</v>
      </c>
      <c r="E20" s="1" t="s">
        <v>229</v>
      </c>
      <c r="F20" s="2" t="s">
        <v>230</v>
      </c>
    </row>
    <row r="21" spans="2:6" ht="23.4">
      <c r="B21" s="3">
        <v>202</v>
      </c>
      <c r="C21" s="3" t="s">
        <v>188</v>
      </c>
      <c r="D21" s="15">
        <v>0.93</v>
      </c>
      <c r="E21" s="15">
        <v>0.3</v>
      </c>
      <c r="F21" s="17" t="s">
        <v>231</v>
      </c>
    </row>
    <row r="22" spans="2:6">
      <c r="B22" s="3">
        <v>208</v>
      </c>
      <c r="C22" s="3" t="s">
        <v>194</v>
      </c>
      <c r="D22" s="15">
        <v>0.91</v>
      </c>
      <c r="E22" s="15">
        <v>0.35</v>
      </c>
    </row>
    <row r="23" spans="2:6">
      <c r="B23" s="3">
        <v>203</v>
      </c>
      <c r="C23" s="3" t="s">
        <v>189</v>
      </c>
      <c r="D23" s="15">
        <v>0.88</v>
      </c>
      <c r="E23" s="15">
        <v>0.56999999999999995</v>
      </c>
      <c r="F23" t="s">
        <v>232</v>
      </c>
    </row>
    <row r="24" spans="2:6">
      <c r="B24" s="3">
        <v>206</v>
      </c>
      <c r="C24" s="3" t="s">
        <v>192</v>
      </c>
      <c r="D24" s="15">
        <v>0.83</v>
      </c>
      <c r="E24" s="15">
        <v>0.73</v>
      </c>
    </row>
    <row r="25" spans="2:6" hidden="1">
      <c r="B25" s="3">
        <v>201</v>
      </c>
      <c r="C25" s="3" t="s">
        <v>187</v>
      </c>
      <c r="D25" s="15">
        <v>0.77</v>
      </c>
      <c r="E25" s="15">
        <v>0.97</v>
      </c>
      <c r="F25" s="18" t="s">
        <v>236</v>
      </c>
    </row>
    <row r="26" spans="2:6" ht="23.4">
      <c r="B26" s="3">
        <v>209</v>
      </c>
      <c r="C26" s="3" t="s">
        <v>195</v>
      </c>
      <c r="D26" s="15">
        <v>0.76</v>
      </c>
      <c r="E26" s="15">
        <v>0.52</v>
      </c>
      <c r="F26" s="17" t="s">
        <v>233</v>
      </c>
    </row>
    <row r="27" spans="2:6" hidden="1">
      <c r="B27" s="3">
        <v>207</v>
      </c>
      <c r="C27" s="3" t="s">
        <v>193</v>
      </c>
      <c r="D27" s="15">
        <v>0.59</v>
      </c>
      <c r="E27" s="15">
        <v>0.87</v>
      </c>
      <c r="F27" s="18" t="s">
        <v>237</v>
      </c>
    </row>
    <row r="28" spans="2:6">
      <c r="B28" s="3">
        <v>204</v>
      </c>
      <c r="C28" s="3" t="s">
        <v>190</v>
      </c>
      <c r="D28" s="15">
        <v>0.56000000000000005</v>
      </c>
      <c r="E28" s="15">
        <v>0.63</v>
      </c>
    </row>
    <row r="29" spans="2:6" hidden="1">
      <c r="B29" s="3">
        <v>210</v>
      </c>
      <c r="C29" s="3" t="s">
        <v>196</v>
      </c>
      <c r="D29" s="15">
        <v>0.54</v>
      </c>
      <c r="E29" s="15">
        <v>0.96</v>
      </c>
    </row>
    <row r="30" spans="2:6">
      <c r="B30" s="3">
        <v>205</v>
      </c>
      <c r="C30" s="3" t="s">
        <v>191</v>
      </c>
      <c r="D30" s="15">
        <v>0.39</v>
      </c>
      <c r="E30" s="15">
        <v>0.59</v>
      </c>
      <c r="F30" s="16" t="s">
        <v>238</v>
      </c>
    </row>
    <row r="31" spans="2:6">
      <c r="F31" s="16" t="s">
        <v>239</v>
      </c>
    </row>
    <row r="32" spans="2:6">
      <c r="F32" s="16" t="s">
        <v>240</v>
      </c>
    </row>
    <row r="33" spans="6:6">
      <c r="F33" s="16" t="s">
        <v>234</v>
      </c>
    </row>
    <row r="34" spans="6:6">
      <c r="F34" s="19" t="s">
        <v>241</v>
      </c>
    </row>
    <row r="35" spans="6:6">
      <c r="F35" s="20" t="s">
        <v>242</v>
      </c>
    </row>
    <row r="36" spans="6:6">
      <c r="F36" s="20" t="s">
        <v>243</v>
      </c>
    </row>
    <row r="37" spans="6:6">
      <c r="F37" s="20" t="s">
        <v>244</v>
      </c>
    </row>
    <row r="38" spans="6:6">
      <c r="F38" s="16" t="s">
        <v>245</v>
      </c>
    </row>
    <row r="40" spans="6:6" ht="23.4">
      <c r="F40" s="17" t="s">
        <v>235</v>
      </c>
    </row>
    <row r="42" spans="6:6">
      <c r="F42" s="16" t="s">
        <v>246</v>
      </c>
    </row>
    <row r="43" spans="6:6">
      <c r="F43" s="16" t="s">
        <v>247</v>
      </c>
    </row>
    <row r="44" spans="6:6">
      <c r="F44" s="16" t="s">
        <v>248</v>
      </c>
    </row>
    <row r="45" spans="6:6">
      <c r="F45" s="16" t="s">
        <v>249</v>
      </c>
    </row>
    <row r="46" spans="6:6">
      <c r="F46" s="16" t="s">
        <v>250</v>
      </c>
    </row>
    <row r="47" spans="6:6">
      <c r="F47" s="16" t="s">
        <v>251</v>
      </c>
    </row>
    <row r="65" spans="6:6">
      <c r="F65" s="16"/>
    </row>
    <row r="68" spans="6:6">
      <c r="F68" s="16"/>
    </row>
    <row r="69" spans="6:6">
      <c r="F69" s="18"/>
    </row>
  </sheetData>
  <autoFilter ref="B21:E30" xr:uid="{BBBDA861-FD0B-4FE5-94AD-35E54C7738D2}">
    <filterColumn colId="3">
      <customFilters>
        <customFilter operator="lessThan" val="0.75"/>
      </customFilters>
    </filterColumn>
  </autoFilter>
  <sortState xmlns:xlrd2="http://schemas.microsoft.com/office/spreadsheetml/2017/richdata2" ref="B21:E30">
    <sortCondition descending="1" ref="D21:D30"/>
  </sortState>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CBD5C-CCEE-4778-B5A2-6DB5A372A183}">
  <sheetPr codeName="Sheet13"/>
  <dimension ref="A4:J36"/>
  <sheetViews>
    <sheetView topLeftCell="A15" workbookViewId="0">
      <selection activeCell="H18" sqref="H18"/>
    </sheetView>
  </sheetViews>
  <sheetFormatPr defaultRowHeight="14.4"/>
  <cols>
    <col min="1" max="1" width="20.21875" customWidth="1"/>
    <col min="2" max="2" width="15.21875" bestFit="1" customWidth="1"/>
    <col min="3" max="3" width="14" bestFit="1" customWidth="1"/>
    <col min="4" max="4" width="10.44140625" bestFit="1" customWidth="1"/>
    <col min="6" max="6" width="22.109375" bestFit="1" customWidth="1"/>
    <col min="8" max="8" width="11.33203125" customWidth="1"/>
    <col min="10" max="10" width="82.5546875" bestFit="1" customWidth="1"/>
  </cols>
  <sheetData>
    <row r="4" spans="1:8">
      <c r="A4" s="1" t="s">
        <v>252</v>
      </c>
    </row>
    <row r="7" spans="1:8">
      <c r="A7" s="1" t="s">
        <v>213</v>
      </c>
    </row>
    <row r="9" spans="1:8">
      <c r="A9" s="12">
        <f>TIME(1,2,4)</f>
        <v>4.310185185185185E-2</v>
      </c>
      <c r="F9" s="14" t="s">
        <v>17</v>
      </c>
    </row>
    <row r="10" spans="1:8">
      <c r="A10" s="9">
        <f ca="1">NOW()</f>
        <v>46113.841903125001</v>
      </c>
      <c r="F10" s="13" t="s">
        <v>215</v>
      </c>
    </row>
    <row r="11" spans="1:8">
      <c r="F11" s="13" t="s">
        <v>216</v>
      </c>
    </row>
    <row r="15" spans="1:8">
      <c r="B15" s="2" t="s">
        <v>134</v>
      </c>
      <c r="C15" s="2" t="s">
        <v>253</v>
      </c>
      <c r="D15" s="2" t="s">
        <v>254</v>
      </c>
      <c r="E15" s="2" t="s">
        <v>255</v>
      </c>
      <c r="G15" s="2" t="s">
        <v>255</v>
      </c>
      <c r="H15" s="2" t="s">
        <v>259</v>
      </c>
    </row>
    <row r="16" spans="1:8">
      <c r="B16" s="3" t="s">
        <v>137</v>
      </c>
      <c r="C16" s="3">
        <v>45</v>
      </c>
      <c r="D16" s="3">
        <v>50</v>
      </c>
      <c r="E16" s="3" t="s">
        <v>257</v>
      </c>
      <c r="G16" t="s">
        <v>257</v>
      </c>
      <c r="H16">
        <f>COUNTIF(E16:E21, "Pass")</f>
        <v>4</v>
      </c>
    </row>
    <row r="17" spans="2:10">
      <c r="B17" s="3" t="s">
        <v>138</v>
      </c>
      <c r="C17" s="3">
        <v>32</v>
      </c>
      <c r="D17" s="3">
        <v>50</v>
      </c>
      <c r="E17" s="3" t="s">
        <v>257</v>
      </c>
      <c r="G17" t="s">
        <v>258</v>
      </c>
      <c r="H17">
        <f>COUNTIF(E16:E21, "Fail")</f>
        <v>2</v>
      </c>
    </row>
    <row r="18" spans="2:10">
      <c r="B18" s="3" t="s">
        <v>139</v>
      </c>
      <c r="C18" s="3">
        <v>28</v>
      </c>
      <c r="D18" s="3">
        <v>50</v>
      </c>
      <c r="E18" s="3" t="s">
        <v>258</v>
      </c>
    </row>
    <row r="19" spans="2:10">
      <c r="B19" s="3" t="s">
        <v>140</v>
      </c>
      <c r="C19" s="3">
        <v>40</v>
      </c>
      <c r="D19" s="3">
        <v>50</v>
      </c>
      <c r="E19" s="3" t="s">
        <v>257</v>
      </c>
    </row>
    <row r="20" spans="2:10">
      <c r="B20" s="3" t="s">
        <v>141</v>
      </c>
      <c r="C20" s="3">
        <v>20</v>
      </c>
      <c r="D20" s="3">
        <v>50</v>
      </c>
      <c r="E20" s="3" t="s">
        <v>258</v>
      </c>
    </row>
    <row r="21" spans="2:10">
      <c r="B21" s="3" t="s">
        <v>256</v>
      </c>
      <c r="C21" s="3">
        <v>48</v>
      </c>
      <c r="D21" s="3">
        <v>50</v>
      </c>
      <c r="E21" s="3" t="s">
        <v>257</v>
      </c>
    </row>
    <row r="23" spans="2:10">
      <c r="J23" s="1" t="s">
        <v>260</v>
      </c>
    </row>
    <row r="24" spans="2:10">
      <c r="J24" t="s">
        <v>267</v>
      </c>
    </row>
    <row r="25" spans="2:10">
      <c r="J25" s="1" t="s">
        <v>261</v>
      </c>
    </row>
    <row r="26" spans="2:10">
      <c r="J26" s="16" t="s">
        <v>262</v>
      </c>
    </row>
    <row r="27" spans="2:10">
      <c r="J27" s="16" t="s">
        <v>263</v>
      </c>
    </row>
    <row r="28" spans="2:10">
      <c r="J28" s="16" t="s">
        <v>264</v>
      </c>
    </row>
    <row r="29" spans="2:10">
      <c r="J29" s="1" t="s">
        <v>265</v>
      </c>
    </row>
    <row r="30" spans="2:10">
      <c r="J30" t="s">
        <v>266</v>
      </c>
    </row>
    <row r="32" spans="2:10">
      <c r="J32" s="1" t="s">
        <v>268</v>
      </c>
    </row>
    <row r="33" spans="10:10">
      <c r="J33" t="s">
        <v>269</v>
      </c>
    </row>
    <row r="34" spans="10:10">
      <c r="J34" t="s">
        <v>270</v>
      </c>
    </row>
    <row r="35" spans="10:10">
      <c r="J35" t="s">
        <v>271</v>
      </c>
    </row>
    <row r="36" spans="10:10">
      <c r="J36" s="1"/>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7C13-CC46-4927-AA6E-E94704F9E079}">
  <sheetPr codeName="Sheet14"/>
  <dimension ref="A4:H30"/>
  <sheetViews>
    <sheetView topLeftCell="A7" workbookViewId="0">
      <selection activeCell="H26" sqref="H26:H30"/>
    </sheetView>
  </sheetViews>
  <sheetFormatPr defaultRowHeight="14.4"/>
  <cols>
    <col min="8" max="8" width="61" bestFit="1" customWidth="1"/>
  </cols>
  <sheetData>
    <row r="4" spans="1:8">
      <c r="A4" s="1" t="s">
        <v>272</v>
      </c>
    </row>
    <row r="7" spans="1:8">
      <c r="A7" s="1" t="s">
        <v>273</v>
      </c>
    </row>
    <row r="9" spans="1:8">
      <c r="H9" s="14" t="s">
        <v>17</v>
      </c>
    </row>
    <row r="10" spans="1:8">
      <c r="A10" s="2" t="s">
        <v>274</v>
      </c>
      <c r="B10" s="2" t="s">
        <v>105</v>
      </c>
      <c r="C10" s="2" t="s">
        <v>106</v>
      </c>
      <c r="D10" s="2" t="s">
        <v>107</v>
      </c>
      <c r="H10" s="10" t="s">
        <v>281</v>
      </c>
    </row>
    <row r="11" spans="1:8">
      <c r="A11" s="3">
        <v>1</v>
      </c>
      <c r="B11" s="3" t="s">
        <v>275</v>
      </c>
      <c r="C11" s="3">
        <v>66</v>
      </c>
      <c r="D11" s="3">
        <v>90</v>
      </c>
      <c r="F11" t="str">
        <f t="shared" ref="F11:F16" si="0">IF(AND(C11&gt;=50, D11&gt;=60), "Promoted", "Hold")</f>
        <v>Promoted</v>
      </c>
    </row>
    <row r="12" spans="1:8">
      <c r="A12" s="3">
        <v>2</v>
      </c>
      <c r="B12" s="3" t="s">
        <v>276</v>
      </c>
      <c r="C12" s="3">
        <v>88</v>
      </c>
      <c r="D12" s="3">
        <v>80</v>
      </c>
      <c r="F12" t="str">
        <f t="shared" si="0"/>
        <v>Promoted</v>
      </c>
    </row>
    <row r="13" spans="1:8">
      <c r="A13" s="3">
        <v>3</v>
      </c>
      <c r="B13" s="3" t="s">
        <v>277</v>
      </c>
      <c r="C13" s="3">
        <v>77</v>
      </c>
      <c r="D13" s="3">
        <v>70</v>
      </c>
      <c r="F13" t="str">
        <f t="shared" si="0"/>
        <v>Promoted</v>
      </c>
    </row>
    <row r="14" spans="1:8">
      <c r="A14" s="3">
        <v>4</v>
      </c>
      <c r="B14" s="3" t="s">
        <v>278</v>
      </c>
      <c r="C14" s="3">
        <v>99</v>
      </c>
      <c r="D14" s="3">
        <v>60</v>
      </c>
      <c r="F14" t="str">
        <f t="shared" si="0"/>
        <v>Promoted</v>
      </c>
    </row>
    <row r="15" spans="1:8">
      <c r="A15" s="3">
        <v>5</v>
      </c>
      <c r="B15" s="3" t="s">
        <v>279</v>
      </c>
      <c r="C15" s="3">
        <v>55</v>
      </c>
      <c r="D15" s="3">
        <v>50</v>
      </c>
      <c r="F15" t="str">
        <f t="shared" si="0"/>
        <v>Hold</v>
      </c>
    </row>
    <row r="16" spans="1:8">
      <c r="A16" s="3">
        <v>6</v>
      </c>
      <c r="B16" s="3" t="s">
        <v>280</v>
      </c>
      <c r="C16" s="3">
        <v>44</v>
      </c>
      <c r="D16" s="3">
        <v>40</v>
      </c>
      <c r="F16" t="str">
        <f t="shared" si="0"/>
        <v>Hold</v>
      </c>
    </row>
    <row r="19" spans="1:8">
      <c r="A19" s="1" t="s">
        <v>282</v>
      </c>
    </row>
    <row r="20" spans="1:8">
      <c r="A20" t="s">
        <v>283</v>
      </c>
    </row>
    <row r="21" spans="1:8">
      <c r="A21" t="s">
        <v>284</v>
      </c>
    </row>
    <row r="23" spans="1:8">
      <c r="A23" t="s">
        <v>22</v>
      </c>
      <c r="B23" s="23" t="s">
        <v>23</v>
      </c>
      <c r="C23" s="23" t="s">
        <v>24</v>
      </c>
      <c r="D23" s="23" t="s">
        <v>25</v>
      </c>
      <c r="E23" s="23" t="s">
        <v>26</v>
      </c>
    </row>
    <row r="24" spans="1:8">
      <c r="A24" t="s">
        <v>27</v>
      </c>
      <c r="B24" s="24">
        <v>55000</v>
      </c>
      <c r="C24" s="24">
        <v>60000</v>
      </c>
      <c r="D24" s="24">
        <v>80000</v>
      </c>
      <c r="E24" s="24">
        <v>72000</v>
      </c>
    </row>
    <row r="25" spans="1:8">
      <c r="A25" t="s">
        <v>28</v>
      </c>
      <c r="B25" s="23">
        <v>10</v>
      </c>
      <c r="C25" s="23">
        <v>15</v>
      </c>
      <c r="D25" s="23">
        <v>12</v>
      </c>
      <c r="E25" s="23">
        <v>18</v>
      </c>
      <c r="H25" s="1" t="s">
        <v>29</v>
      </c>
    </row>
    <row r="26" spans="1:8">
      <c r="H26" t="s">
        <v>30</v>
      </c>
    </row>
    <row r="27" spans="1:8">
      <c r="H27" t="s">
        <v>31</v>
      </c>
    </row>
    <row r="28" spans="1:8">
      <c r="H28" t="s">
        <v>32</v>
      </c>
    </row>
    <row r="29" spans="1:8">
      <c r="H29" t="s">
        <v>34</v>
      </c>
    </row>
    <row r="30" spans="1:8">
      <c r="H30" t="s">
        <v>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60ED-0538-4FD7-9901-D14046E9B186}">
  <sheetPr codeName="Sheet15"/>
  <dimension ref="A4:L39"/>
  <sheetViews>
    <sheetView topLeftCell="A21" workbookViewId="0">
      <selection activeCell="G33" sqref="G33:G39"/>
    </sheetView>
  </sheetViews>
  <sheetFormatPr defaultRowHeight="14.4"/>
  <cols>
    <col min="2" max="2" width="15.88671875" bestFit="1" customWidth="1"/>
    <col min="3" max="3" width="22" bestFit="1" customWidth="1"/>
    <col min="6" max="6" width="9.33203125" customWidth="1"/>
    <col min="7" max="7" width="41.109375" bestFit="1" customWidth="1"/>
    <col min="8" max="8" width="11.44140625" bestFit="1" customWidth="1"/>
    <col min="12" max="12" width="67.33203125" bestFit="1" customWidth="1"/>
  </cols>
  <sheetData>
    <row r="4" spans="1:12">
      <c r="A4" s="1" t="s">
        <v>285</v>
      </c>
    </row>
    <row r="8" spans="1:12">
      <c r="A8" s="1" t="s">
        <v>291</v>
      </c>
    </row>
    <row r="10" spans="1:12">
      <c r="A10" t="s">
        <v>104</v>
      </c>
      <c r="B10" t="s">
        <v>105</v>
      </c>
      <c r="C10" s="3" t="s">
        <v>295</v>
      </c>
      <c r="D10" t="s">
        <v>107</v>
      </c>
      <c r="G10" s="1" t="s">
        <v>16</v>
      </c>
      <c r="L10" s="14" t="s">
        <v>17</v>
      </c>
    </row>
    <row r="11" spans="1:12">
      <c r="A11">
        <v>1</v>
      </c>
      <c r="B11" t="s">
        <v>165</v>
      </c>
      <c r="C11" s="3" t="s">
        <v>296</v>
      </c>
      <c r="D11" s="3">
        <v>75</v>
      </c>
      <c r="L11" s="10" t="s">
        <v>300</v>
      </c>
    </row>
    <row r="12" spans="1:12">
      <c r="A12">
        <v>2</v>
      </c>
      <c r="B12" t="s">
        <v>173</v>
      </c>
      <c r="C12" s="3" t="s">
        <v>297</v>
      </c>
      <c r="D12" s="3">
        <v>80</v>
      </c>
      <c r="F12" cm="1">
        <f t="array" ref="F12:I13">_xlfn._xlws.FILTER(A11:D16, C11:C16="Mathematics", "NotFound")</f>
        <v>1</v>
      </c>
      <c r="G12" t="str">
        <v>Harry Potter</v>
      </c>
      <c r="H12" t="str">
        <v>Mathematics</v>
      </c>
      <c r="I12">
        <v>75</v>
      </c>
    </row>
    <row r="13" spans="1:12">
      <c r="A13">
        <v>3</v>
      </c>
      <c r="B13" t="s">
        <v>292</v>
      </c>
      <c r="C13" s="3" t="s">
        <v>298</v>
      </c>
      <c r="D13" s="3">
        <v>79</v>
      </c>
      <c r="F13">
        <v>4</v>
      </c>
      <c r="G13" t="str">
        <v>Hermoini Granger</v>
      </c>
      <c r="H13" t="str">
        <v>Mathematics</v>
      </c>
      <c r="I13">
        <v>92</v>
      </c>
    </row>
    <row r="14" spans="1:12">
      <c r="A14">
        <v>4</v>
      </c>
      <c r="B14" t="s">
        <v>293</v>
      </c>
      <c r="C14" s="3" t="s">
        <v>296</v>
      </c>
      <c r="D14" s="3">
        <v>92</v>
      </c>
    </row>
    <row r="15" spans="1:12">
      <c r="A15">
        <v>5</v>
      </c>
      <c r="B15" t="s">
        <v>294</v>
      </c>
      <c r="C15" s="3" t="s">
        <v>299</v>
      </c>
      <c r="D15" s="3">
        <v>95</v>
      </c>
    </row>
    <row r="16" spans="1:12">
      <c r="A16">
        <v>6</v>
      </c>
      <c r="B16" t="s">
        <v>171</v>
      </c>
      <c r="C16" s="3" t="s">
        <v>298</v>
      </c>
      <c r="D16" s="3">
        <v>90</v>
      </c>
    </row>
    <row r="21" spans="1:1">
      <c r="A21" s="1" t="s">
        <v>301</v>
      </c>
    </row>
    <row r="23" spans="1:1">
      <c r="A23">
        <v>25</v>
      </c>
    </row>
    <row r="24" spans="1:1">
      <c r="A24">
        <v>38</v>
      </c>
    </row>
    <row r="25" spans="1:1">
      <c r="A25">
        <v>44</v>
      </c>
    </row>
    <row r="26" spans="1:1">
      <c r="A26">
        <v>50</v>
      </c>
    </row>
    <row r="27" spans="1:1">
      <c r="A27">
        <v>57</v>
      </c>
    </row>
    <row r="28" spans="1:1">
      <c r="A28">
        <v>63</v>
      </c>
    </row>
    <row r="29" spans="1:1">
      <c r="A29">
        <v>69</v>
      </c>
    </row>
    <row r="30" spans="1:1">
      <c r="A30">
        <v>74</v>
      </c>
    </row>
    <row r="31" spans="1:1">
      <c r="A31">
        <v>82</v>
      </c>
    </row>
    <row r="32" spans="1:1">
      <c r="A32">
        <v>88</v>
      </c>
    </row>
    <row r="33" spans="7:7">
      <c r="G33" s="2" t="s">
        <v>29</v>
      </c>
    </row>
    <row r="34" spans="7:7">
      <c r="G34" t="s">
        <v>55</v>
      </c>
    </row>
    <row r="35" spans="7:7">
      <c r="G35" t="s">
        <v>56</v>
      </c>
    </row>
    <row r="36" spans="7:7">
      <c r="G36" t="s">
        <v>57</v>
      </c>
    </row>
    <row r="37" spans="7:7">
      <c r="G37" t="s">
        <v>58</v>
      </c>
    </row>
    <row r="38" spans="7:7">
      <c r="G38" t="s">
        <v>398</v>
      </c>
    </row>
    <row r="39" spans="7:7">
      <c r="G39" t="s">
        <v>399</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9964-69E0-4E02-B9A8-2AE1C2CF0C04}">
  <sheetPr codeName="Sheet16"/>
  <dimension ref="A4:H29"/>
  <sheetViews>
    <sheetView topLeftCell="A17" workbookViewId="0">
      <selection activeCell="H25" sqref="H25:H29"/>
    </sheetView>
  </sheetViews>
  <sheetFormatPr defaultRowHeight="14.4"/>
  <cols>
    <col min="1" max="1" width="11.77734375" customWidth="1"/>
    <col min="8" max="8" width="67.33203125" bestFit="1" customWidth="1"/>
  </cols>
  <sheetData>
    <row r="4" spans="1:8">
      <c r="A4" s="1" t="s">
        <v>302</v>
      </c>
    </row>
    <row r="7" spans="1:8">
      <c r="A7" s="1" t="s">
        <v>303</v>
      </c>
    </row>
    <row r="9" spans="1:8">
      <c r="A9" s="2" t="s">
        <v>274</v>
      </c>
      <c r="B9" s="2" t="s">
        <v>105</v>
      </c>
      <c r="C9" s="2" t="s">
        <v>106</v>
      </c>
      <c r="D9" s="2" t="s">
        <v>107</v>
      </c>
    </row>
    <row r="10" spans="1:8">
      <c r="A10" s="3">
        <v>1</v>
      </c>
      <c r="B10" s="3" t="s">
        <v>120</v>
      </c>
      <c r="C10" s="3">
        <v>66</v>
      </c>
      <c r="D10" s="3">
        <v>90</v>
      </c>
      <c r="F10" t="str">
        <f>IF(OR(C10&gt;90, NOT(D10&lt;50)), "Qualified", "Review")</f>
        <v>Qualified</v>
      </c>
      <c r="H10" s="14" t="s">
        <v>17</v>
      </c>
    </row>
    <row r="11" spans="1:8">
      <c r="A11" s="3">
        <v>2</v>
      </c>
      <c r="B11" s="3" t="s">
        <v>286</v>
      </c>
      <c r="C11" s="3">
        <v>88</v>
      </c>
      <c r="D11" s="3">
        <v>80</v>
      </c>
      <c r="F11" t="str">
        <f t="shared" ref="F11:F15" si="0">IF(OR(C11&gt;90, NOT(D11&lt;50)), "Qualified", "Review")</f>
        <v>Qualified</v>
      </c>
      <c r="H11" s="10" t="s">
        <v>304</v>
      </c>
    </row>
    <row r="12" spans="1:8">
      <c r="A12" s="3">
        <v>3</v>
      </c>
      <c r="B12" s="3" t="s">
        <v>287</v>
      </c>
      <c r="C12" s="3">
        <v>77</v>
      </c>
      <c r="D12" s="3">
        <v>70</v>
      </c>
      <c r="F12" t="str">
        <f t="shared" si="0"/>
        <v>Qualified</v>
      </c>
    </row>
    <row r="13" spans="1:8">
      <c r="A13" s="3">
        <v>4</v>
      </c>
      <c r="B13" s="3" t="s">
        <v>288</v>
      </c>
      <c r="C13" s="3">
        <v>99</v>
      </c>
      <c r="D13" s="3">
        <v>60</v>
      </c>
      <c r="F13" t="str">
        <f t="shared" si="0"/>
        <v>Qualified</v>
      </c>
    </row>
    <row r="14" spans="1:8">
      <c r="A14" s="3">
        <v>5</v>
      </c>
      <c r="B14" s="3" t="s">
        <v>289</v>
      </c>
      <c r="C14" s="3">
        <v>55</v>
      </c>
      <c r="D14" s="3">
        <v>50</v>
      </c>
      <c r="F14" t="str">
        <f t="shared" si="0"/>
        <v>Qualified</v>
      </c>
    </row>
    <row r="15" spans="1:8">
      <c r="A15" s="3">
        <v>6</v>
      </c>
      <c r="B15" s="3" t="s">
        <v>290</v>
      </c>
      <c r="C15" s="3">
        <v>44</v>
      </c>
      <c r="D15" s="3">
        <v>40</v>
      </c>
      <c r="F15" t="str">
        <f t="shared" si="0"/>
        <v>Review</v>
      </c>
    </row>
    <row r="19" spans="1:8">
      <c r="A19" s="1" t="s">
        <v>305</v>
      </c>
    </row>
    <row r="20" spans="1:8">
      <c r="A20" t="s">
        <v>306</v>
      </c>
    </row>
    <row r="21" spans="1:8">
      <c r="A21" t="s">
        <v>307</v>
      </c>
    </row>
    <row r="23" spans="1:8">
      <c r="A23" s="1" t="s">
        <v>22</v>
      </c>
      <c r="B23" s="1" t="s">
        <v>99</v>
      </c>
      <c r="C23" s="1" t="s">
        <v>308</v>
      </c>
      <c r="D23" s="1" t="s">
        <v>309</v>
      </c>
      <c r="E23" s="1" t="s">
        <v>310</v>
      </c>
      <c r="H23" s="2" t="s">
        <v>29</v>
      </c>
    </row>
    <row r="24" spans="1:8">
      <c r="A24" s="1" t="s">
        <v>312</v>
      </c>
      <c r="B24" s="22">
        <v>48000</v>
      </c>
      <c r="C24" s="22">
        <v>52000</v>
      </c>
      <c r="D24" s="22">
        <v>67000</v>
      </c>
      <c r="E24" s="22">
        <v>75000</v>
      </c>
    </row>
    <row r="25" spans="1:8">
      <c r="A25" s="1" t="s">
        <v>311</v>
      </c>
      <c r="B25">
        <v>8</v>
      </c>
      <c r="C25">
        <v>12</v>
      </c>
      <c r="D25">
        <v>10</v>
      </c>
      <c r="E25">
        <v>15</v>
      </c>
      <c r="H25" t="s">
        <v>30</v>
      </c>
    </row>
    <row r="26" spans="1:8">
      <c r="H26" t="s">
        <v>31</v>
      </c>
    </row>
    <row r="27" spans="1:8">
      <c r="H27" t="s">
        <v>32</v>
      </c>
    </row>
    <row r="28" spans="1:8">
      <c r="H28" t="s">
        <v>34</v>
      </c>
    </row>
    <row r="29" spans="1:8">
      <c r="H29" t="s">
        <v>33</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35EC-59CD-420A-B413-860AC0E1CC77}">
  <sheetPr codeName="Sheet17"/>
  <dimension ref="A4:F34"/>
  <sheetViews>
    <sheetView topLeftCell="A13" workbookViewId="0">
      <selection activeCell="B31" sqref="B31:F34"/>
    </sheetView>
  </sheetViews>
  <sheetFormatPr defaultRowHeight="14.4"/>
  <cols>
    <col min="1" max="1" width="18.109375" customWidth="1"/>
    <col min="6" max="6" width="17" bestFit="1" customWidth="1"/>
  </cols>
  <sheetData>
    <row r="4" spans="1:6">
      <c r="A4" s="1" t="s">
        <v>336</v>
      </c>
    </row>
    <row r="10" spans="1:6">
      <c r="A10" s="1" t="s">
        <v>313</v>
      </c>
    </row>
    <row r="11" spans="1:6">
      <c r="A11" t="s">
        <v>314</v>
      </c>
    </row>
    <row r="12" spans="1:6">
      <c r="A12" t="s">
        <v>316</v>
      </c>
    </row>
    <row r="13" spans="1:6">
      <c r="A13" t="s">
        <v>315</v>
      </c>
    </row>
    <row r="16" spans="1:6">
      <c r="A16" s="1" t="s">
        <v>317</v>
      </c>
      <c r="B16" s="2" t="s">
        <v>16</v>
      </c>
      <c r="C16" s="2" t="s">
        <v>16</v>
      </c>
      <c r="F16" s="14" t="s">
        <v>17</v>
      </c>
    </row>
    <row r="17" spans="1:6">
      <c r="A17" t="s">
        <v>318</v>
      </c>
      <c r="B17" s="3">
        <f>LEN(A17)</f>
        <v>14</v>
      </c>
      <c r="C17" s="3" t="str">
        <f>LEFT(A17, 3)</f>
        <v>Tan</v>
      </c>
      <c r="F17" s="10" t="s">
        <v>323</v>
      </c>
    </row>
    <row r="18" spans="1:6">
      <c r="A18" t="s">
        <v>319</v>
      </c>
      <c r="B18" s="3">
        <f>LEN(A18)</f>
        <v>13</v>
      </c>
      <c r="C18" s="3" t="str">
        <f t="shared" ref="C18:C21" si="0">LEFT(A18, 3)</f>
        <v>Nez</v>
      </c>
      <c r="F18" s="10" t="s">
        <v>324</v>
      </c>
    </row>
    <row r="19" spans="1:6">
      <c r="A19" t="s">
        <v>320</v>
      </c>
      <c r="B19" s="3">
        <f t="shared" ref="B19:B21" si="1">LEN(A19)</f>
        <v>13</v>
      </c>
      <c r="C19" s="3" t="str">
        <f t="shared" si="0"/>
        <v>Shi</v>
      </c>
    </row>
    <row r="20" spans="1:6">
      <c r="A20" t="s">
        <v>321</v>
      </c>
      <c r="B20" s="3">
        <f t="shared" si="1"/>
        <v>17</v>
      </c>
      <c r="C20" s="3" t="str">
        <f t="shared" si="0"/>
        <v>Ino</v>
      </c>
    </row>
    <row r="21" spans="1:6">
      <c r="A21" t="s">
        <v>322</v>
      </c>
      <c r="B21" s="3">
        <f t="shared" si="1"/>
        <v>12</v>
      </c>
      <c r="C21" s="3" t="str">
        <f t="shared" si="0"/>
        <v>Oba</v>
      </c>
    </row>
    <row r="24" spans="1:6">
      <c r="A24" s="1" t="s">
        <v>325</v>
      </c>
    </row>
    <row r="25" spans="1:6">
      <c r="A25" t="s">
        <v>326</v>
      </c>
    </row>
    <row r="26" spans="1:6">
      <c r="A26" t="s">
        <v>327</v>
      </c>
    </row>
    <row r="27" spans="1:6">
      <c r="A27" t="s">
        <v>328</v>
      </c>
    </row>
    <row r="28" spans="1:6">
      <c r="A28" t="s">
        <v>329</v>
      </c>
    </row>
    <row r="31" spans="1:6">
      <c r="B31" s="2" t="s">
        <v>330</v>
      </c>
      <c r="C31" s="2" t="s">
        <v>331</v>
      </c>
      <c r="D31" s="2" t="s">
        <v>332</v>
      </c>
      <c r="F31" s="14" t="s">
        <v>17</v>
      </c>
    </row>
    <row r="32" spans="1:6">
      <c r="B32" s="3">
        <v>9</v>
      </c>
      <c r="C32" s="3">
        <v>6</v>
      </c>
      <c r="D32" s="3">
        <f>B32 * C32</f>
        <v>54</v>
      </c>
      <c r="F32" s="10" t="s">
        <v>333</v>
      </c>
    </row>
    <row r="33" spans="2:6">
      <c r="B33" s="3">
        <v>8</v>
      </c>
      <c r="C33" s="3">
        <v>5</v>
      </c>
      <c r="D33" s="3">
        <f t="array" ref="D33">B33 * C33</f>
        <v>40</v>
      </c>
      <c r="F33" s="10" t="s">
        <v>334</v>
      </c>
    </row>
    <row r="34" spans="2:6">
      <c r="B34" s="3">
        <v>7</v>
      </c>
      <c r="C34" s="3">
        <v>4</v>
      </c>
      <c r="D34" s="3">
        <f t="array" ref="D34">B34 * C34</f>
        <v>28</v>
      </c>
      <c r="F34" s="10" t="s">
        <v>335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42593-F62E-4D8F-84E3-2F129F40A7AD}">
  <sheetPr codeName="Sheet18"/>
  <dimension ref="A1:H25"/>
  <sheetViews>
    <sheetView topLeftCell="A4" workbookViewId="0">
      <selection activeCell="H29" sqref="H29"/>
    </sheetView>
  </sheetViews>
  <sheetFormatPr defaultRowHeight="14.4"/>
  <cols>
    <col min="6" max="6" width="9.88671875" bestFit="1" customWidth="1"/>
    <col min="8" max="8" width="92.44140625" bestFit="1" customWidth="1"/>
  </cols>
  <sheetData>
    <row r="1" spans="1:8">
      <c r="A1" s="1" t="s">
        <v>337</v>
      </c>
    </row>
    <row r="3" spans="1:8">
      <c r="A3" s="2" t="s">
        <v>274</v>
      </c>
      <c r="B3" s="2" t="s">
        <v>105</v>
      </c>
      <c r="C3" s="2" t="s">
        <v>106</v>
      </c>
      <c r="D3" s="2" t="s">
        <v>107</v>
      </c>
      <c r="H3" s="14" t="s">
        <v>17</v>
      </c>
    </row>
    <row r="4" spans="1:8">
      <c r="A4" s="3">
        <v>1</v>
      </c>
      <c r="B4" s="3" t="s">
        <v>338</v>
      </c>
      <c r="C4" s="3">
        <v>66</v>
      </c>
      <c r="D4" s="3">
        <v>90</v>
      </c>
      <c r="E4" t="str" cm="1">
        <f t="array" ref="E4">_xlfn.IFS(C4&gt;=80, "Excellant", C4&gt;=60, "Good", C4&gt;=50, "Fair", TRUE, "Poor")</f>
        <v>Good</v>
      </c>
      <c r="F4" t="str">
        <f>IF(OR(D4&gt;=80, C4&gt;=80), "Eligible", "Not Eligible")</f>
        <v>Eligible</v>
      </c>
      <c r="H4" s="10" t="s">
        <v>344</v>
      </c>
    </row>
    <row r="5" spans="1:8">
      <c r="A5" s="3">
        <v>2</v>
      </c>
      <c r="B5" s="3" t="s">
        <v>339</v>
      </c>
      <c r="C5" s="3">
        <v>88</v>
      </c>
      <c r="D5" s="3">
        <v>80</v>
      </c>
      <c r="E5" t="str" cm="1">
        <f t="array" ref="E5">_xlfn.IFS(C5&gt;=80, "Excellant", C5&gt;=60, "Good", C5&gt;=50, "Fair", TRUE, "Poor")</f>
        <v>Excellant</v>
      </c>
      <c r="F5" t="str">
        <f t="shared" ref="F5:F9" si="0">IF(OR(D5&gt;=80, C5&gt;=80), "Eligible", "Not Eligible")</f>
        <v>Eligible</v>
      </c>
      <c r="H5" s="10" t="s">
        <v>345</v>
      </c>
    </row>
    <row r="6" spans="1:8">
      <c r="A6" s="3">
        <v>3</v>
      </c>
      <c r="B6" s="3" t="s">
        <v>340</v>
      </c>
      <c r="C6" s="3">
        <v>77</v>
      </c>
      <c r="D6" s="3">
        <v>70</v>
      </c>
      <c r="E6" t="str" cm="1">
        <f t="array" ref="E6">_xlfn.IFS(C6&gt;=80, "Excellant", C6&gt;=60, "Good", C6&gt;=50, "Fair", TRUE, "Poor")</f>
        <v>Good</v>
      </c>
      <c r="F6" t="str">
        <f t="shared" si="0"/>
        <v>Not Eligible</v>
      </c>
    </row>
    <row r="7" spans="1:8">
      <c r="A7" s="3">
        <v>4</v>
      </c>
      <c r="B7" s="3" t="s">
        <v>341</v>
      </c>
      <c r="C7" s="3">
        <v>99</v>
      </c>
      <c r="D7" s="3">
        <v>60</v>
      </c>
      <c r="E7" t="str" cm="1">
        <f t="array" ref="E7">_xlfn.IFS(C7&gt;=80, "Excellant", C7&gt;=60, "Good", C7&gt;=50, "Fair", TRUE, "Poor")</f>
        <v>Excellant</v>
      </c>
      <c r="F7" t="str">
        <f t="shared" si="0"/>
        <v>Eligible</v>
      </c>
    </row>
    <row r="8" spans="1:8">
      <c r="A8" s="3">
        <v>5</v>
      </c>
      <c r="B8" s="3" t="s">
        <v>342</v>
      </c>
      <c r="C8" s="3">
        <v>55</v>
      </c>
      <c r="D8" s="3">
        <v>50</v>
      </c>
      <c r="E8" t="str" cm="1">
        <f t="array" ref="E8">_xlfn.IFS(C8&gt;=80, "Excellant", C8&gt;=60, "Good", C8&gt;=50, "Fair", TRUE, "Poor")</f>
        <v>Fair</v>
      </c>
      <c r="F8" t="str">
        <f t="shared" si="0"/>
        <v>Not Eligible</v>
      </c>
    </row>
    <row r="9" spans="1:8">
      <c r="A9" s="3">
        <v>6</v>
      </c>
      <c r="B9" s="3" t="s">
        <v>343</v>
      </c>
      <c r="C9" s="3">
        <v>44</v>
      </c>
      <c r="D9" s="3">
        <v>40</v>
      </c>
      <c r="E9" t="str" cm="1">
        <f t="array" ref="E9">_xlfn.IFS(C9&gt;=80, "Excellant", C9&gt;=60, "Good", C9&gt;=50, "Fair", TRUE, "Poor")</f>
        <v>Poor</v>
      </c>
      <c r="F9" t="str">
        <f t="shared" si="0"/>
        <v>Not Eligible</v>
      </c>
    </row>
    <row r="14" spans="1:8">
      <c r="A14" s="1" t="s">
        <v>346</v>
      </c>
    </row>
    <row r="15" spans="1:8">
      <c r="A15" t="s">
        <v>347</v>
      </c>
    </row>
    <row r="16" spans="1:8">
      <c r="A16" t="s">
        <v>348</v>
      </c>
    </row>
    <row r="17" spans="1:8">
      <c r="A17" t="s">
        <v>349</v>
      </c>
    </row>
    <row r="18" spans="1:8">
      <c r="A18" t="s">
        <v>350</v>
      </c>
    </row>
    <row r="20" spans="1:8">
      <c r="A20" s="2" t="s">
        <v>330</v>
      </c>
      <c r="B20" s="2" t="s">
        <v>331</v>
      </c>
      <c r="C20" s="2" t="s">
        <v>332</v>
      </c>
      <c r="H20" s="21" t="s">
        <v>17</v>
      </c>
    </row>
    <row r="21" spans="1:8">
      <c r="A21" s="3">
        <v>9</v>
      </c>
      <c r="B21" s="3">
        <v>6</v>
      </c>
      <c r="C21" s="3">
        <f>A21 * B21</f>
        <v>54</v>
      </c>
      <c r="H21" s="25" t="s">
        <v>351</v>
      </c>
    </row>
    <row r="22" spans="1:8">
      <c r="A22" s="3">
        <v>8</v>
      </c>
      <c r="B22" s="3">
        <v>5</v>
      </c>
      <c r="C22" s="3">
        <f t="array" ref="C22">A22 * B22</f>
        <v>40</v>
      </c>
      <c r="H22" s="25" t="s">
        <v>352</v>
      </c>
    </row>
    <row r="23" spans="1:8">
      <c r="A23" s="3">
        <v>7</v>
      </c>
      <c r="B23" s="3">
        <v>4</v>
      </c>
      <c r="C23" s="3">
        <f t="array" ref="C23">A23 * B23</f>
        <v>28</v>
      </c>
      <c r="H23" s="25" t="s">
        <v>333</v>
      </c>
    </row>
    <row r="24" spans="1:8">
      <c r="A24" s="3">
        <v>2</v>
      </c>
      <c r="B24" s="3">
        <v>4</v>
      </c>
      <c r="C24" s="3">
        <f t="array" ref="C24">A24 * B24</f>
        <v>8</v>
      </c>
      <c r="H24" s="25" t="s">
        <v>334</v>
      </c>
    </row>
    <row r="25" spans="1:8">
      <c r="A25" s="3">
        <v>8</v>
      </c>
      <c r="B25" s="3">
        <v>2</v>
      </c>
      <c r="C25" s="3">
        <f t="array" ref="C25">A25 * B25</f>
        <v>16</v>
      </c>
      <c r="H25" s="25" t="s">
        <v>335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2BE38-7B94-40D0-AFE1-D631C59761A8}">
  <sheetPr codeName="Sheet19"/>
  <dimension ref="A1:L24"/>
  <sheetViews>
    <sheetView workbookViewId="0">
      <selection activeCell="A18" sqref="A18:C24"/>
    </sheetView>
  </sheetViews>
  <sheetFormatPr defaultRowHeight="14.4"/>
  <cols>
    <col min="2" max="2" width="10.88671875" bestFit="1" customWidth="1"/>
    <col min="5" max="5" width="9.44140625" bestFit="1" customWidth="1"/>
    <col min="6" max="6" width="22.109375" bestFit="1" customWidth="1"/>
    <col min="12" max="12" width="10.33203125" bestFit="1" customWidth="1"/>
  </cols>
  <sheetData>
    <row r="1" spans="1:12">
      <c r="A1" s="1" t="s">
        <v>353</v>
      </c>
    </row>
    <row r="2" spans="1:12">
      <c r="A2">
        <v>80</v>
      </c>
      <c r="B2" t="s">
        <v>354</v>
      </c>
    </row>
    <row r="5" spans="1:12">
      <c r="A5" s="1" t="s">
        <v>355</v>
      </c>
    </row>
    <row r="6" spans="1:12">
      <c r="A6" s="4" t="s">
        <v>356</v>
      </c>
    </row>
    <row r="7" spans="1:12">
      <c r="A7" s="4" t="s">
        <v>357</v>
      </c>
    </row>
    <row r="8" spans="1:12">
      <c r="A8" s="4" t="s">
        <v>358</v>
      </c>
    </row>
    <row r="9" spans="1:12">
      <c r="A9" s="4" t="s">
        <v>359</v>
      </c>
    </row>
    <row r="10" spans="1:12">
      <c r="A10" s="4" t="s">
        <v>360</v>
      </c>
    </row>
    <row r="11" spans="1:12" ht="21">
      <c r="A11" s="4" t="s">
        <v>361</v>
      </c>
      <c r="L11" s="27" t="s">
        <v>379</v>
      </c>
    </row>
    <row r="12" spans="1:12">
      <c r="A12" s="4" t="s">
        <v>362</v>
      </c>
    </row>
    <row r="13" spans="1:12">
      <c r="L13" s="1"/>
    </row>
    <row r="15" spans="1:12">
      <c r="A15" s="26" t="s">
        <v>363</v>
      </c>
    </row>
    <row r="16" spans="1:12">
      <c r="A16" t="s">
        <v>364</v>
      </c>
    </row>
    <row r="18" spans="1:6">
      <c r="A18" s="1" t="s">
        <v>104</v>
      </c>
      <c r="B18" s="1" t="s">
        <v>38</v>
      </c>
      <c r="C18" s="1" t="s">
        <v>39</v>
      </c>
      <c r="E18" s="14" t="s">
        <v>372</v>
      </c>
      <c r="F18" s="14" t="s">
        <v>17</v>
      </c>
    </row>
    <row r="19" spans="1:6">
      <c r="A19">
        <v>1</v>
      </c>
      <c r="B19" t="s">
        <v>365</v>
      </c>
      <c r="C19" t="s">
        <v>46</v>
      </c>
      <c r="E19" s="10">
        <f>LEN(B19)</f>
        <v>5</v>
      </c>
      <c r="F19" s="10" t="s">
        <v>373</v>
      </c>
    </row>
    <row r="20" spans="1:6">
      <c r="A20">
        <v>2</v>
      </c>
      <c r="B20" t="s">
        <v>366</v>
      </c>
      <c r="C20" t="s">
        <v>47</v>
      </c>
      <c r="E20" s="10" t="str">
        <f>MID(C20, 2, 4)</f>
        <v>atar</v>
      </c>
      <c r="F20" s="10" t="s">
        <v>374</v>
      </c>
    </row>
    <row r="21" spans="1:6">
      <c r="A21">
        <v>3</v>
      </c>
      <c r="B21" t="s">
        <v>367</v>
      </c>
      <c r="C21" t="s">
        <v>371</v>
      </c>
      <c r="E21" s="10" t="str">
        <f>LEFT(B21, 6)</f>
        <v>Vishnu</v>
      </c>
      <c r="F21" s="10" t="s">
        <v>375</v>
      </c>
    </row>
    <row r="22" spans="1:6">
      <c r="A22">
        <v>4</v>
      </c>
      <c r="B22" t="s">
        <v>368</v>
      </c>
      <c r="C22" t="s">
        <v>49</v>
      </c>
      <c r="E22" s="10" t="str">
        <f>RIGHT(B22, 5)</f>
        <v>priya</v>
      </c>
      <c r="F22" s="10" t="s">
        <v>376</v>
      </c>
    </row>
    <row r="23" spans="1:6">
      <c r="A23">
        <v>5</v>
      </c>
      <c r="B23" t="s">
        <v>369</v>
      </c>
      <c r="C23" t="s">
        <v>50</v>
      </c>
    </row>
    <row r="24" spans="1:6">
      <c r="A24">
        <v>6</v>
      </c>
      <c r="B24" t="s">
        <v>370</v>
      </c>
      <c r="C24" t="s">
        <v>51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6292-3B8B-451D-80E4-F715FE4BA562}">
  <sheetPr codeName="Sheet20"/>
  <dimension ref="A4:F28"/>
  <sheetViews>
    <sheetView topLeftCell="I8" workbookViewId="0">
      <selection activeCell="F31" sqref="F31"/>
    </sheetView>
  </sheetViews>
  <sheetFormatPr defaultRowHeight="14.4"/>
  <cols>
    <col min="2" max="2" width="10.88671875" bestFit="1" customWidth="1"/>
    <col min="5" max="5" width="11.33203125" bestFit="1" customWidth="1"/>
    <col min="6" max="6" width="24.5546875" bestFit="1" customWidth="1"/>
  </cols>
  <sheetData>
    <row r="4" spans="1:1">
      <c r="A4" s="1" t="s">
        <v>377</v>
      </c>
    </row>
    <row r="6" spans="1:1">
      <c r="A6" s="1" t="s">
        <v>378</v>
      </c>
    </row>
    <row r="8" spans="1:1">
      <c r="A8">
        <v>89</v>
      </c>
    </row>
    <row r="10" spans="1:1">
      <c r="A10" s="1" t="s">
        <v>355</v>
      </c>
    </row>
    <row r="11" spans="1:1">
      <c r="A11" s="4" t="s">
        <v>380</v>
      </c>
    </row>
    <row r="12" spans="1:1">
      <c r="A12" s="4" t="s">
        <v>381</v>
      </c>
    </row>
    <row r="13" spans="1:1">
      <c r="A13" s="4" t="s">
        <v>382</v>
      </c>
    </row>
    <row r="14" spans="1:1">
      <c r="A14" s="4" t="s">
        <v>359</v>
      </c>
    </row>
    <row r="15" spans="1:1">
      <c r="A15" s="4" t="s">
        <v>383</v>
      </c>
    </row>
    <row r="16" spans="1:1">
      <c r="A16" s="4" t="s">
        <v>361</v>
      </c>
    </row>
    <row r="17" spans="1:6">
      <c r="A17" s="4" t="s">
        <v>362</v>
      </c>
    </row>
    <row r="20" spans="1:6">
      <c r="A20" s="26" t="s">
        <v>384</v>
      </c>
    </row>
    <row r="22" spans="1:6">
      <c r="A22" s="2" t="s">
        <v>104</v>
      </c>
      <c r="B22" s="2" t="s">
        <v>38</v>
      </c>
      <c r="C22" s="2" t="s">
        <v>39</v>
      </c>
      <c r="E22" s="2" t="s">
        <v>372</v>
      </c>
      <c r="F22" s="2" t="s">
        <v>17</v>
      </c>
    </row>
    <row r="23" spans="1:6">
      <c r="A23" s="3">
        <v>1</v>
      </c>
      <c r="B23" s="3" t="s">
        <v>4</v>
      </c>
      <c r="C23" s="3" t="s">
        <v>46</v>
      </c>
      <c r="E23" s="3" t="str">
        <f>_xlfn.CONCAT(B23, C23)</f>
        <v>SmaranPune</v>
      </c>
      <c r="F23" s="10" t="s">
        <v>385</v>
      </c>
    </row>
    <row r="24" spans="1:6">
      <c r="A24" s="3">
        <v>2</v>
      </c>
      <c r="B24" s="3" t="s">
        <v>5</v>
      </c>
      <c r="C24" s="3" t="s">
        <v>47</v>
      </c>
      <c r="E24" s="3" t="str">
        <f>MID(B24, 3, 5)</f>
        <v>meeks</v>
      </c>
      <c r="F24" s="10" t="s">
        <v>386</v>
      </c>
    </row>
    <row r="25" spans="1:6">
      <c r="A25" s="3">
        <v>3</v>
      </c>
      <c r="B25" s="3" t="s">
        <v>387</v>
      </c>
      <c r="C25" s="3" t="s">
        <v>371</v>
      </c>
      <c r="E25" s="3" t="str">
        <f>TRIM(B25)</f>
        <v>Span dan</v>
      </c>
      <c r="F25" s="10" t="s">
        <v>388</v>
      </c>
    </row>
    <row r="26" spans="1:6">
      <c r="A26" s="3">
        <v>4</v>
      </c>
      <c r="B26" s="3" t="s">
        <v>7</v>
      </c>
      <c r="C26" s="3" t="s">
        <v>49</v>
      </c>
      <c r="E26" s="3">
        <f>LEN(B26)</f>
        <v>8</v>
      </c>
      <c r="F26" s="10" t="s">
        <v>389</v>
      </c>
    </row>
    <row r="27" spans="1:6">
      <c r="A27" s="3">
        <v>5</v>
      </c>
      <c r="B27" s="3" t="s">
        <v>8</v>
      </c>
      <c r="C27" s="3" t="s">
        <v>50</v>
      </c>
    </row>
    <row r="28" spans="1:6">
      <c r="A28" s="3">
        <v>6</v>
      </c>
      <c r="B28" s="3" t="s">
        <v>9</v>
      </c>
      <c r="C28" s="3" t="s">
        <v>51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A80AA-4F28-4F74-AF17-804D1019C2D0}">
  <sheetPr codeName="Sheet21"/>
  <dimension ref="A3:O40"/>
  <sheetViews>
    <sheetView topLeftCell="A3" workbookViewId="0">
      <selection activeCell="A14" sqref="A14:A20"/>
    </sheetView>
  </sheetViews>
  <sheetFormatPr defaultRowHeight="14.4"/>
  <cols>
    <col min="8" max="8" width="41.109375" bestFit="1" customWidth="1"/>
  </cols>
  <sheetData>
    <row r="3" spans="1:15">
      <c r="O3" t="s">
        <v>396</v>
      </c>
    </row>
    <row r="4" spans="1:15">
      <c r="A4" s="1" t="s">
        <v>390</v>
      </c>
    </row>
    <row r="7" spans="1:15">
      <c r="A7" s="1" t="s">
        <v>391</v>
      </c>
    </row>
    <row r="9" spans="1:15">
      <c r="A9">
        <v>90</v>
      </c>
    </row>
    <row r="12" spans="1:15">
      <c r="A12" s="1" t="s">
        <v>355</v>
      </c>
    </row>
    <row r="14" spans="1:15">
      <c r="A14" s="4" t="s">
        <v>392</v>
      </c>
    </row>
    <row r="15" spans="1:15">
      <c r="A15" s="4" t="s">
        <v>393</v>
      </c>
    </row>
    <row r="16" spans="1:15">
      <c r="A16" s="4" t="s">
        <v>394</v>
      </c>
    </row>
    <row r="17" spans="1:8">
      <c r="A17" s="4" t="s">
        <v>359</v>
      </c>
    </row>
    <row r="18" spans="1:8">
      <c r="A18" s="4" t="s">
        <v>395</v>
      </c>
    </row>
    <row r="19" spans="1:8">
      <c r="A19" s="4" t="s">
        <v>361</v>
      </c>
    </row>
    <row r="20" spans="1:8">
      <c r="A20" s="4" t="s">
        <v>362</v>
      </c>
    </row>
    <row r="24" spans="1:8">
      <c r="A24" s="1" t="s">
        <v>397</v>
      </c>
    </row>
    <row r="26" spans="1:8">
      <c r="A26">
        <v>120</v>
      </c>
    </row>
    <row r="27" spans="1:8">
      <c r="A27">
        <v>135</v>
      </c>
    </row>
    <row r="28" spans="1:8">
      <c r="A28">
        <v>142</v>
      </c>
    </row>
    <row r="29" spans="1:8">
      <c r="A29">
        <v>150</v>
      </c>
      <c r="H29" s="2" t="s">
        <v>29</v>
      </c>
    </row>
    <row r="30" spans="1:8">
      <c r="A30">
        <v>165</v>
      </c>
      <c r="H30" t="s">
        <v>55</v>
      </c>
    </row>
    <row r="31" spans="1:8">
      <c r="A31">
        <v>172</v>
      </c>
      <c r="H31" t="s">
        <v>56</v>
      </c>
    </row>
    <row r="32" spans="1:8">
      <c r="A32">
        <v>180</v>
      </c>
      <c r="H32" t="s">
        <v>57</v>
      </c>
    </row>
    <row r="33" spans="1:8">
      <c r="A33">
        <v>195</v>
      </c>
      <c r="H33" t="s">
        <v>58</v>
      </c>
    </row>
    <row r="34" spans="1:8">
      <c r="A34">
        <v>210</v>
      </c>
      <c r="H34" t="s">
        <v>398</v>
      </c>
    </row>
    <row r="35" spans="1:8">
      <c r="A35">
        <v>225</v>
      </c>
      <c r="H35" t="s">
        <v>399</v>
      </c>
    </row>
    <row r="36" spans="1:8">
      <c r="A36">
        <v>240</v>
      </c>
    </row>
    <row r="37" spans="1:8">
      <c r="A37">
        <v>155</v>
      </c>
    </row>
    <row r="38" spans="1:8">
      <c r="A38">
        <v>168</v>
      </c>
    </row>
    <row r="39" spans="1:8">
      <c r="A39">
        <v>190</v>
      </c>
    </row>
    <row r="40" spans="1:8">
      <c r="A40">
        <v>205</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2241F-0BA4-49C0-A2B2-51913246F3E3}">
  <sheetPr codeName="Sheet22"/>
  <dimension ref="A1:J34"/>
  <sheetViews>
    <sheetView topLeftCell="A7" workbookViewId="0">
      <selection activeCell="E9" sqref="E9"/>
    </sheetView>
  </sheetViews>
  <sheetFormatPr defaultRowHeight="14.4"/>
  <cols>
    <col min="2" max="2" width="15.44140625" bestFit="1" customWidth="1"/>
    <col min="9" max="9" width="10.21875" bestFit="1" customWidth="1"/>
    <col min="10" max="10" width="9.5546875" bestFit="1" customWidth="1"/>
  </cols>
  <sheetData>
    <row r="1" spans="1:1">
      <c r="A1" s="2"/>
    </row>
    <row r="4" spans="1:1">
      <c r="A4" s="1" t="s">
        <v>400</v>
      </c>
    </row>
    <row r="7" spans="1:1">
      <c r="A7" s="1" t="s">
        <v>401</v>
      </c>
    </row>
    <row r="10" spans="1:1">
      <c r="A10">
        <v>30</v>
      </c>
    </row>
    <row r="11" spans="1:1">
      <c r="A11" s="4" t="s">
        <v>392</v>
      </c>
    </row>
    <row r="12" spans="1:1">
      <c r="A12" s="4" t="s">
        <v>393</v>
      </c>
    </row>
    <row r="13" spans="1:1">
      <c r="A13" s="4" t="s">
        <v>394</v>
      </c>
    </row>
    <row r="14" spans="1:1">
      <c r="A14" s="4" t="s">
        <v>359</v>
      </c>
    </row>
    <row r="15" spans="1:1">
      <c r="A15" s="4" t="s">
        <v>395</v>
      </c>
    </row>
    <row r="16" spans="1:1">
      <c r="A16" s="4" t="s">
        <v>361</v>
      </c>
    </row>
    <row r="17" spans="1:10">
      <c r="A17" s="4" t="s">
        <v>362</v>
      </c>
    </row>
    <row r="19" spans="1:10">
      <c r="A19" s="1" t="s">
        <v>402</v>
      </c>
    </row>
    <row r="20" spans="1:10">
      <c r="A20" t="s">
        <v>403</v>
      </c>
    </row>
    <row r="21" spans="1:10">
      <c r="A21" t="s">
        <v>404</v>
      </c>
    </row>
    <row r="24" spans="1:10">
      <c r="A24" s="3" t="s">
        <v>182</v>
      </c>
      <c r="B24" s="3" t="s">
        <v>105</v>
      </c>
      <c r="C24" s="3" t="s">
        <v>183</v>
      </c>
      <c r="D24" s="3" t="s">
        <v>184</v>
      </c>
      <c r="E24" s="3" t="s">
        <v>185</v>
      </c>
      <c r="F24" s="3" t="s">
        <v>12</v>
      </c>
      <c r="G24" s="3" t="s">
        <v>186</v>
      </c>
      <c r="H24" s="3" t="s">
        <v>225</v>
      </c>
      <c r="I24" s="3" t="s">
        <v>228</v>
      </c>
      <c r="J24" s="3" t="s">
        <v>107</v>
      </c>
    </row>
    <row r="25" spans="1:10">
      <c r="A25">
        <v>206</v>
      </c>
      <c r="B25" t="s">
        <v>192</v>
      </c>
      <c r="C25">
        <v>99</v>
      </c>
      <c r="D25">
        <v>100</v>
      </c>
      <c r="E25">
        <v>97</v>
      </c>
      <c r="F25">
        <v>99</v>
      </c>
      <c r="G25">
        <v>93</v>
      </c>
      <c r="H25">
        <f t="shared" ref="H25:H34" si="0">SUM(C25:G25)</f>
        <v>488</v>
      </c>
      <c r="I25">
        <f t="shared" ref="I25:I34" si="1">(H25/500)*100</f>
        <v>97.6</v>
      </c>
      <c r="J25" t="str">
        <f t="shared" ref="J25:J34" si="2">IF(I25&gt;=75, "Distinction", IF(I25&gt;=60, "First Class", IF(I25&gt;=40, "Pass", "Fail")))</f>
        <v>Distinction</v>
      </c>
    </row>
    <row r="26" spans="1:10">
      <c r="A26">
        <v>208</v>
      </c>
      <c r="B26" t="s">
        <v>194</v>
      </c>
      <c r="C26">
        <v>70</v>
      </c>
      <c r="D26">
        <v>97.15</v>
      </c>
      <c r="E26">
        <v>91.32</v>
      </c>
      <c r="F26">
        <v>82.34</v>
      </c>
      <c r="G26">
        <v>89.43</v>
      </c>
      <c r="H26">
        <f t="shared" si="0"/>
        <v>430.24000000000007</v>
      </c>
      <c r="I26">
        <f t="shared" si="1"/>
        <v>86.048000000000016</v>
      </c>
      <c r="J26" t="str">
        <f t="shared" si="2"/>
        <v>Distinction</v>
      </c>
    </row>
    <row r="27" spans="1:10">
      <c r="A27">
        <v>205</v>
      </c>
      <c r="B27" t="s">
        <v>191</v>
      </c>
      <c r="C27">
        <v>80</v>
      </c>
      <c r="D27">
        <v>90.99</v>
      </c>
      <c r="E27">
        <v>78.84</v>
      </c>
      <c r="F27">
        <v>80</v>
      </c>
      <c r="G27">
        <v>93</v>
      </c>
      <c r="H27">
        <f t="shared" si="0"/>
        <v>422.83000000000004</v>
      </c>
      <c r="I27">
        <f t="shared" si="1"/>
        <v>84.566000000000003</v>
      </c>
      <c r="J27" t="str">
        <f t="shared" si="2"/>
        <v>Distinction</v>
      </c>
    </row>
    <row r="28" spans="1:10">
      <c r="A28">
        <v>207</v>
      </c>
      <c r="B28" t="s">
        <v>193</v>
      </c>
      <c r="C28">
        <v>85</v>
      </c>
      <c r="D28">
        <v>79.05</v>
      </c>
      <c r="E28">
        <v>87.63</v>
      </c>
      <c r="F28">
        <v>78.52</v>
      </c>
      <c r="G28">
        <v>91</v>
      </c>
      <c r="H28">
        <f t="shared" si="0"/>
        <v>421.2</v>
      </c>
      <c r="I28">
        <f t="shared" si="1"/>
        <v>84.24</v>
      </c>
      <c r="J28" t="str">
        <f t="shared" si="2"/>
        <v>Distinction</v>
      </c>
    </row>
    <row r="29" spans="1:10">
      <c r="A29">
        <v>210</v>
      </c>
      <c r="B29" t="s">
        <v>196</v>
      </c>
      <c r="C29">
        <v>88.98</v>
      </c>
      <c r="D29">
        <v>70.709999999999994</v>
      </c>
      <c r="E29">
        <v>80</v>
      </c>
      <c r="F29">
        <v>87.32</v>
      </c>
      <c r="G29">
        <v>89.22</v>
      </c>
      <c r="H29">
        <f t="shared" si="0"/>
        <v>416.23</v>
      </c>
      <c r="I29">
        <f t="shared" si="1"/>
        <v>83.246000000000009</v>
      </c>
      <c r="J29" t="str">
        <f t="shared" si="2"/>
        <v>Distinction</v>
      </c>
    </row>
    <row r="30" spans="1:10">
      <c r="A30">
        <v>209</v>
      </c>
      <c r="B30" t="s">
        <v>195</v>
      </c>
      <c r="C30">
        <v>78</v>
      </c>
      <c r="D30">
        <v>88.81</v>
      </c>
      <c r="E30">
        <v>60</v>
      </c>
      <c r="F30">
        <v>73.319999999999993</v>
      </c>
      <c r="G30">
        <v>81.52</v>
      </c>
      <c r="H30">
        <f t="shared" si="0"/>
        <v>381.65</v>
      </c>
      <c r="I30">
        <f t="shared" si="1"/>
        <v>76.33</v>
      </c>
      <c r="J30" t="str">
        <f t="shared" si="2"/>
        <v>Distinction</v>
      </c>
    </row>
    <row r="31" spans="1:10">
      <c r="A31">
        <v>204</v>
      </c>
      <c r="B31" t="s">
        <v>190</v>
      </c>
      <c r="C31">
        <v>50</v>
      </c>
      <c r="D31">
        <v>69.760000000000005</v>
      </c>
      <c r="E31">
        <v>95.13</v>
      </c>
      <c r="F31">
        <v>78.510000000000005</v>
      </c>
      <c r="G31">
        <v>86.22</v>
      </c>
      <c r="H31">
        <f t="shared" si="0"/>
        <v>379.62</v>
      </c>
      <c r="I31">
        <f t="shared" si="1"/>
        <v>75.924000000000007</v>
      </c>
      <c r="J31" t="str">
        <f t="shared" si="2"/>
        <v>Distinction</v>
      </c>
    </row>
    <row r="32" spans="1:10">
      <c r="A32">
        <v>201</v>
      </c>
      <c r="B32" t="s">
        <v>187</v>
      </c>
      <c r="C32">
        <v>70</v>
      </c>
      <c r="D32">
        <v>79.89</v>
      </c>
      <c r="E32">
        <v>75</v>
      </c>
      <c r="F32">
        <v>83</v>
      </c>
      <c r="G32">
        <v>70</v>
      </c>
      <c r="H32">
        <f t="shared" si="0"/>
        <v>377.89</v>
      </c>
      <c r="I32">
        <f t="shared" si="1"/>
        <v>75.578000000000003</v>
      </c>
      <c r="J32" t="str">
        <f t="shared" si="2"/>
        <v>Distinction</v>
      </c>
    </row>
    <row r="33" spans="1:10">
      <c r="A33">
        <v>203</v>
      </c>
      <c r="B33" t="s">
        <v>189</v>
      </c>
      <c r="C33">
        <v>70</v>
      </c>
      <c r="D33">
        <v>79</v>
      </c>
      <c r="E33">
        <v>77.12</v>
      </c>
      <c r="F33">
        <v>71.08</v>
      </c>
      <c r="G33">
        <v>75.06</v>
      </c>
      <c r="H33">
        <f t="shared" si="0"/>
        <v>372.26</v>
      </c>
      <c r="I33">
        <f t="shared" si="1"/>
        <v>74.451999999999998</v>
      </c>
      <c r="J33" t="str">
        <f t="shared" si="2"/>
        <v>First Class</v>
      </c>
    </row>
    <row r="34" spans="1:10">
      <c r="A34">
        <v>202</v>
      </c>
      <c r="B34" t="s">
        <v>188</v>
      </c>
      <c r="C34">
        <v>65</v>
      </c>
      <c r="D34">
        <v>86.12</v>
      </c>
      <c r="E34">
        <v>69</v>
      </c>
      <c r="F34">
        <v>78</v>
      </c>
      <c r="G34">
        <v>72</v>
      </c>
      <c r="H34">
        <f t="shared" si="0"/>
        <v>370.12</v>
      </c>
      <c r="I34">
        <f t="shared" si="1"/>
        <v>74.024000000000001</v>
      </c>
      <c r="J34" t="str">
        <f t="shared" si="2"/>
        <v>First Class</v>
      </c>
    </row>
  </sheetData>
  <sortState xmlns:xlrd2="http://schemas.microsoft.com/office/spreadsheetml/2017/richdata2" ref="A25:J34">
    <sortCondition descending="1" ref="I25:I34"/>
  </sortSt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F70C-C2D4-4B6F-8CFC-B840DCE35428}">
  <sheetPr codeName="Sheet23"/>
  <dimension ref="A4:J31"/>
  <sheetViews>
    <sheetView workbookViewId="0">
      <selection activeCell="A22" sqref="A22:J47"/>
    </sheetView>
  </sheetViews>
  <sheetFormatPr defaultRowHeight="14.4"/>
  <cols>
    <col min="1" max="1" width="11.44140625" customWidth="1"/>
    <col min="2" max="2" width="10.6640625" bestFit="1" customWidth="1"/>
    <col min="10" max="10" width="53" bestFit="1" customWidth="1"/>
    <col min="15" max="15" width="12" customWidth="1"/>
    <col min="16" max="16" width="10.33203125" bestFit="1" customWidth="1"/>
  </cols>
  <sheetData>
    <row r="4" spans="1:1">
      <c r="A4" s="1" t="s">
        <v>405</v>
      </c>
    </row>
    <row r="7" spans="1:1">
      <c r="A7" s="1" t="s">
        <v>406</v>
      </c>
    </row>
    <row r="10" spans="1:1">
      <c r="A10">
        <v>75</v>
      </c>
    </row>
    <row r="12" spans="1:1">
      <c r="A12" t="s">
        <v>355</v>
      </c>
    </row>
    <row r="13" spans="1:1">
      <c r="A13" s="4" t="s">
        <v>407</v>
      </c>
    </row>
    <row r="14" spans="1:1">
      <c r="A14" s="4" t="s">
        <v>408</v>
      </c>
    </row>
    <row r="15" spans="1:1">
      <c r="A15" s="4" t="s">
        <v>409</v>
      </c>
    </row>
    <row r="16" spans="1:1">
      <c r="A16" s="4" t="s">
        <v>359</v>
      </c>
    </row>
    <row r="17" spans="1:10">
      <c r="A17" s="4" t="s">
        <v>410</v>
      </c>
    </row>
    <row r="18" spans="1:10">
      <c r="A18" s="4" t="s">
        <v>361</v>
      </c>
    </row>
    <row r="19" spans="1:10">
      <c r="A19" s="4" t="s">
        <v>362</v>
      </c>
    </row>
    <row r="22" spans="1:10">
      <c r="A22" s="26" t="s">
        <v>411</v>
      </c>
    </row>
    <row r="23" spans="1:10">
      <c r="A23" t="s">
        <v>412</v>
      </c>
    </row>
    <row r="24" spans="1:10">
      <c r="A24" t="s">
        <v>413</v>
      </c>
    </row>
    <row r="26" spans="1:10">
      <c r="A26" s="1" t="s">
        <v>22</v>
      </c>
      <c r="B26" s="1" t="s">
        <v>415</v>
      </c>
      <c r="C26" s="1" t="s">
        <v>416</v>
      </c>
      <c r="J26" s="2" t="s">
        <v>29</v>
      </c>
    </row>
    <row r="27" spans="1:10">
      <c r="A27" t="s">
        <v>308</v>
      </c>
      <c r="B27" s="22">
        <v>42000</v>
      </c>
      <c r="C27">
        <v>90</v>
      </c>
      <c r="J27" t="s">
        <v>30</v>
      </c>
    </row>
    <row r="28" spans="1:10">
      <c r="A28" t="s">
        <v>309</v>
      </c>
      <c r="B28" s="22">
        <v>58000</v>
      </c>
      <c r="C28">
        <v>120</v>
      </c>
      <c r="J28" t="s">
        <v>31</v>
      </c>
    </row>
    <row r="29" spans="1:10">
      <c r="A29" t="s">
        <v>310</v>
      </c>
      <c r="B29" s="22">
        <v>47500</v>
      </c>
      <c r="C29">
        <v>110</v>
      </c>
      <c r="J29" t="s">
        <v>32</v>
      </c>
    </row>
    <row r="30" spans="1:10">
      <c r="A30" t="s">
        <v>414</v>
      </c>
      <c r="B30" s="22">
        <v>66000</v>
      </c>
      <c r="C30">
        <v>150</v>
      </c>
      <c r="J30" t="s">
        <v>34</v>
      </c>
    </row>
    <row r="31" spans="1:10">
      <c r="J31" t="s">
        <v>33</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65B8-6BC3-4E6B-943A-CF0988AA8970}">
  <sheetPr codeName="Sheet24"/>
  <dimension ref="A4:J28"/>
  <sheetViews>
    <sheetView workbookViewId="0">
      <selection activeCell="M33" sqref="M33"/>
    </sheetView>
  </sheetViews>
  <sheetFormatPr defaultRowHeight="14.4"/>
  <sheetData>
    <row r="4" spans="1:1">
      <c r="A4" s="1" t="s">
        <v>417</v>
      </c>
    </row>
    <row r="8" spans="1:1">
      <c r="A8" s="1" t="s">
        <v>418</v>
      </c>
    </row>
    <row r="10" spans="1:1">
      <c r="A10" s="4" t="s">
        <v>419</v>
      </c>
    </row>
    <row r="11" spans="1:1">
      <c r="A11" s="4" t="s">
        <v>420</v>
      </c>
    </row>
    <row r="12" spans="1:1">
      <c r="A12" s="4" t="s">
        <v>423</v>
      </c>
    </row>
    <row r="13" spans="1:1">
      <c r="A13" s="4" t="s">
        <v>421</v>
      </c>
    </row>
    <row r="14" spans="1:1">
      <c r="A14" s="4" t="s">
        <v>422</v>
      </c>
    </row>
    <row r="15" spans="1:1">
      <c r="A15" s="4" t="s">
        <v>362</v>
      </c>
    </row>
    <row r="19" spans="1:10">
      <c r="A19" s="26" t="s">
        <v>411</v>
      </c>
    </row>
    <row r="20" spans="1:10">
      <c r="A20" t="s">
        <v>412</v>
      </c>
    </row>
    <row r="21" spans="1:10">
      <c r="A21" t="s">
        <v>413</v>
      </c>
    </row>
    <row r="23" spans="1:10">
      <c r="A23" s="1" t="s">
        <v>22</v>
      </c>
      <c r="B23" s="1" t="s">
        <v>415</v>
      </c>
      <c r="C23" s="1" t="s">
        <v>416</v>
      </c>
      <c r="J23" s="2" t="s">
        <v>29</v>
      </c>
    </row>
    <row r="24" spans="1:10">
      <c r="A24" t="s">
        <v>308</v>
      </c>
      <c r="B24" s="22">
        <v>42000</v>
      </c>
      <c r="C24">
        <v>90</v>
      </c>
      <c r="J24" t="s">
        <v>30</v>
      </c>
    </row>
    <row r="25" spans="1:10">
      <c r="A25" t="s">
        <v>309</v>
      </c>
      <c r="B25" s="22">
        <v>58000</v>
      </c>
      <c r="C25">
        <v>120</v>
      </c>
      <c r="J25" t="s">
        <v>31</v>
      </c>
    </row>
    <row r="26" spans="1:10">
      <c r="A26" t="s">
        <v>310</v>
      </c>
      <c r="B26" s="22">
        <v>47500</v>
      </c>
      <c r="C26">
        <v>110</v>
      </c>
      <c r="J26" t="s">
        <v>32</v>
      </c>
    </row>
    <row r="27" spans="1:10">
      <c r="A27" t="s">
        <v>414</v>
      </c>
      <c r="B27" s="22">
        <v>66000</v>
      </c>
      <c r="C27">
        <v>150</v>
      </c>
      <c r="J27" t="s">
        <v>34</v>
      </c>
    </row>
    <row r="28" spans="1:10">
      <c r="J28" t="s">
        <v>33</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65AE2-C8FA-467B-A644-DFCBF57AE22C}">
  <sheetPr codeName="Sheet25"/>
  <dimension ref="A4:F39"/>
  <sheetViews>
    <sheetView topLeftCell="A12" workbookViewId="0">
      <selection activeCell="A25" sqref="A25:G39"/>
    </sheetView>
  </sheetViews>
  <sheetFormatPr defaultRowHeight="14.4"/>
  <cols>
    <col min="1" max="1" width="14.88671875" customWidth="1"/>
    <col min="2" max="2" width="11.33203125" customWidth="1"/>
    <col min="3" max="3" width="15.21875" bestFit="1" customWidth="1"/>
    <col min="6" max="6" width="22.88671875" bestFit="1" customWidth="1"/>
  </cols>
  <sheetData>
    <row r="4" spans="1:1">
      <c r="A4" s="1" t="s">
        <v>424</v>
      </c>
    </row>
    <row r="7" spans="1:1">
      <c r="A7" s="1" t="s">
        <v>425</v>
      </c>
    </row>
    <row r="10" spans="1:1">
      <c r="A10">
        <v>2</v>
      </c>
    </row>
    <row r="13" spans="1:1">
      <c r="A13" t="s">
        <v>355</v>
      </c>
    </row>
    <row r="15" spans="1:1">
      <c r="A15" s="4" t="s">
        <v>426</v>
      </c>
    </row>
    <row r="16" spans="1:1">
      <c r="A16" s="4" t="s">
        <v>427</v>
      </c>
    </row>
    <row r="17" spans="1:6">
      <c r="A17" s="4" t="s">
        <v>428</v>
      </c>
    </row>
    <row r="18" spans="1:6">
      <c r="A18" s="4" t="s">
        <v>359</v>
      </c>
    </row>
    <row r="19" spans="1:6">
      <c r="A19" s="4" t="s">
        <v>429</v>
      </c>
    </row>
    <row r="20" spans="1:6">
      <c r="A20" s="4" t="s">
        <v>361</v>
      </c>
    </row>
    <row r="21" spans="1:6">
      <c r="A21" s="4" t="s">
        <v>362</v>
      </c>
    </row>
    <row r="25" spans="1:6">
      <c r="A25" s="1" t="s">
        <v>435</v>
      </c>
    </row>
    <row r="26" spans="1:6">
      <c r="A26" t="s">
        <v>436</v>
      </c>
    </row>
    <row r="27" spans="1:6">
      <c r="A27" t="s">
        <v>437</v>
      </c>
    </row>
    <row r="30" spans="1:6">
      <c r="A30" s="2" t="s">
        <v>134</v>
      </c>
      <c r="B30" s="2" t="s">
        <v>295</v>
      </c>
      <c r="C30" s="1" t="s">
        <v>439</v>
      </c>
      <c r="F30" s="2" t="s">
        <v>17</v>
      </c>
    </row>
    <row r="31" spans="1:6">
      <c r="A31" s="3" t="s">
        <v>137</v>
      </c>
      <c r="B31" s="3" t="s">
        <v>430</v>
      </c>
      <c r="C31" t="str" cm="1">
        <f t="array" ref="C31:D39">_xlfn._xlws.SORT(_xlfn.UNIQUE(A31:B39))</f>
        <v>Aarav Sharma</v>
      </c>
      <c r="D31" t="str">
        <v>Math</v>
      </c>
      <c r="F31" s="10" t="s">
        <v>440</v>
      </c>
    </row>
    <row r="32" spans="1:6">
      <c r="A32" s="3" t="s">
        <v>138</v>
      </c>
      <c r="B32" s="3" t="s">
        <v>431</v>
      </c>
      <c r="C32" t="str">
        <v>Bhavya Patil</v>
      </c>
      <c r="D32" t="str">
        <v>Science</v>
      </c>
    </row>
    <row r="33" spans="1:4">
      <c r="A33" s="3" t="s">
        <v>139</v>
      </c>
      <c r="B33" s="3" t="s">
        <v>430</v>
      </c>
      <c r="C33" t="str">
        <v>Chirag Deshmukh</v>
      </c>
      <c r="D33" t="str">
        <v>Math</v>
      </c>
    </row>
    <row r="34" spans="1:4">
      <c r="A34" s="3" t="s">
        <v>140</v>
      </c>
      <c r="B34" s="3" t="s">
        <v>432</v>
      </c>
      <c r="C34" t="str">
        <v>Divya Kulkarni</v>
      </c>
      <c r="D34" t="str">
        <v>English</v>
      </c>
    </row>
    <row r="35" spans="1:4">
      <c r="A35" s="3" t="s">
        <v>141</v>
      </c>
      <c r="B35" s="3" t="s">
        <v>431</v>
      </c>
      <c r="C35" t="str">
        <v>Esha More</v>
      </c>
      <c r="D35" t="str">
        <v>Science</v>
      </c>
    </row>
    <row r="36" spans="1:4">
      <c r="A36" s="3" t="s">
        <v>256</v>
      </c>
      <c r="B36" s="3" t="s">
        <v>430</v>
      </c>
      <c r="C36" t="str">
        <v>Faiz Khan</v>
      </c>
      <c r="D36" t="str">
        <v>Math</v>
      </c>
    </row>
    <row r="37" spans="1:4">
      <c r="A37" s="3" t="s">
        <v>438</v>
      </c>
      <c r="B37" s="3" t="s">
        <v>432</v>
      </c>
      <c r="C37" t="str">
        <v>Gayartri Desai</v>
      </c>
      <c r="D37" t="str">
        <v>English</v>
      </c>
    </row>
    <row r="38" spans="1:4">
      <c r="A38" s="3" t="s">
        <v>433</v>
      </c>
      <c r="B38" s="3" t="s">
        <v>431</v>
      </c>
      <c r="C38" t="str">
        <v>Harsh Patil</v>
      </c>
      <c r="D38" t="str">
        <v>Science</v>
      </c>
    </row>
    <row r="39" spans="1:4">
      <c r="A39" s="3" t="s">
        <v>434</v>
      </c>
      <c r="B39" s="3" t="s">
        <v>430</v>
      </c>
      <c r="C39" t="str">
        <v>Isha Sharma</v>
      </c>
      <c r="D39" t="str">
        <v>Math</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57A9-C5B2-419A-A0EB-63CDBF3ABE64}">
  <sheetPr codeName="Sheet26"/>
  <dimension ref="A4:F36"/>
  <sheetViews>
    <sheetView topLeftCell="A18" workbookViewId="0">
      <selection activeCell="F19" sqref="F19"/>
    </sheetView>
  </sheetViews>
  <sheetFormatPr defaultRowHeight="14.4"/>
  <cols>
    <col min="1" max="1" width="15.88671875" customWidth="1"/>
    <col min="2" max="2" width="10.44140625" customWidth="1"/>
    <col min="3" max="3" width="15.21875" customWidth="1"/>
    <col min="6" max="6" width="29.6640625" bestFit="1" customWidth="1"/>
  </cols>
  <sheetData>
    <row r="4" spans="1:1">
      <c r="A4" s="1" t="s">
        <v>442</v>
      </c>
    </row>
    <row r="7" spans="1:1">
      <c r="A7" s="1" t="s">
        <v>441</v>
      </c>
    </row>
    <row r="10" spans="1:1">
      <c r="A10" t="s">
        <v>355</v>
      </c>
    </row>
    <row r="13" spans="1:1">
      <c r="A13" s="4" t="s">
        <v>443</v>
      </c>
    </row>
    <row r="14" spans="1:1">
      <c r="A14" s="4" t="s">
        <v>444</v>
      </c>
    </row>
    <row r="15" spans="1:1">
      <c r="A15" s="4" t="s">
        <v>445</v>
      </c>
    </row>
    <row r="16" spans="1:1">
      <c r="A16" s="4" t="s">
        <v>446</v>
      </c>
    </row>
    <row r="17" spans="1:6">
      <c r="A17" s="4" t="s">
        <v>422</v>
      </c>
    </row>
    <row r="18" spans="1:6">
      <c r="A18" s="4" t="s">
        <v>362</v>
      </c>
    </row>
    <row r="22" spans="1:6">
      <c r="A22" s="1" t="s">
        <v>435</v>
      </c>
    </row>
    <row r="23" spans="1:6">
      <c r="A23" t="s">
        <v>436</v>
      </c>
    </row>
    <row r="24" spans="1:6">
      <c r="A24" t="s">
        <v>437</v>
      </c>
    </row>
    <row r="27" spans="1:6">
      <c r="A27" s="2" t="s">
        <v>134</v>
      </c>
      <c r="B27" s="2" t="s">
        <v>295</v>
      </c>
      <c r="C27" s="1" t="s">
        <v>439</v>
      </c>
      <c r="F27" s="2" t="s">
        <v>17</v>
      </c>
    </row>
    <row r="28" spans="1:6">
      <c r="A28" s="3" t="s">
        <v>137</v>
      </c>
      <c r="B28" s="3" t="s">
        <v>430</v>
      </c>
      <c r="C28" t="str" cm="1">
        <f t="array" ref="C28:D36">_xlfn._xlws.SORT(_xlfn.UNIQUE(A28:B36))</f>
        <v>Aarav Sharma</v>
      </c>
      <c r="D28" t="str">
        <v>Math</v>
      </c>
      <c r="F28" s="10" t="s">
        <v>440</v>
      </c>
    </row>
    <row r="29" spans="1:6">
      <c r="A29" s="3" t="s">
        <v>138</v>
      </c>
      <c r="B29" s="3" t="s">
        <v>431</v>
      </c>
      <c r="C29" t="str">
        <v>Bhavya Patil</v>
      </c>
      <c r="D29" t="str">
        <v>Science</v>
      </c>
    </row>
    <row r="30" spans="1:6">
      <c r="A30" s="3" t="s">
        <v>139</v>
      </c>
      <c r="B30" s="3" t="s">
        <v>430</v>
      </c>
      <c r="C30" t="str">
        <v>Chirag Deshmukh</v>
      </c>
      <c r="D30" t="str">
        <v>Math</v>
      </c>
    </row>
    <row r="31" spans="1:6">
      <c r="A31" s="3" t="s">
        <v>140</v>
      </c>
      <c r="B31" s="3" t="s">
        <v>432</v>
      </c>
      <c r="C31" t="str">
        <v>Divya Kulkarni</v>
      </c>
      <c r="D31" t="str">
        <v>English</v>
      </c>
    </row>
    <row r="32" spans="1:6">
      <c r="A32" s="3" t="s">
        <v>141</v>
      </c>
      <c r="B32" s="3" t="s">
        <v>431</v>
      </c>
      <c r="C32" t="str">
        <v>Esha More</v>
      </c>
      <c r="D32" t="str">
        <v>Science</v>
      </c>
    </row>
    <row r="33" spans="1:4">
      <c r="A33" s="3" t="s">
        <v>256</v>
      </c>
      <c r="B33" s="3" t="s">
        <v>430</v>
      </c>
      <c r="C33" t="str">
        <v>Faiz Khan</v>
      </c>
      <c r="D33" t="str">
        <v>Math</v>
      </c>
    </row>
    <row r="34" spans="1:4">
      <c r="A34" s="3" t="s">
        <v>438</v>
      </c>
      <c r="B34" s="3" t="s">
        <v>432</v>
      </c>
      <c r="C34" t="str">
        <v>Gayartri Desai</v>
      </c>
      <c r="D34" t="str">
        <v>English</v>
      </c>
    </row>
    <row r="35" spans="1:4">
      <c r="A35" s="3" t="s">
        <v>433</v>
      </c>
      <c r="B35" s="3" t="s">
        <v>431</v>
      </c>
      <c r="C35" t="str">
        <v>Harsh Patil</v>
      </c>
      <c r="D35" t="str">
        <v>Science</v>
      </c>
    </row>
    <row r="36" spans="1:4">
      <c r="A36" s="3" t="s">
        <v>434</v>
      </c>
      <c r="B36" s="3" t="s">
        <v>430</v>
      </c>
      <c r="C36" t="str">
        <v>Isha Sharma</v>
      </c>
      <c r="D36" t="str">
        <v>Math</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BA5AC-4D9C-44E5-8544-57AEF83B9FF2}">
  <sheetPr codeName="Sheet27"/>
  <dimension ref="A4:H33"/>
  <sheetViews>
    <sheetView topLeftCell="H24" workbookViewId="0">
      <selection activeCell="H31" sqref="H31"/>
    </sheetView>
  </sheetViews>
  <sheetFormatPr defaultRowHeight="14.4"/>
  <cols>
    <col min="3" max="3" width="15.21875" bestFit="1" customWidth="1"/>
    <col min="5" max="5" width="9.33203125" bestFit="1" customWidth="1"/>
    <col min="6" max="6" width="29.6640625" bestFit="1" customWidth="1"/>
    <col min="8" max="8" width="53.44140625" bestFit="1" customWidth="1"/>
  </cols>
  <sheetData>
    <row r="4" spans="1:8">
      <c r="A4" t="s">
        <v>447</v>
      </c>
    </row>
    <row r="7" spans="1:8">
      <c r="A7" s="1" t="s">
        <v>448</v>
      </c>
    </row>
    <row r="9" spans="1:8">
      <c r="A9" s="2" t="s">
        <v>118</v>
      </c>
      <c r="B9" s="2" t="s">
        <v>105</v>
      </c>
      <c r="C9" s="2" t="s">
        <v>106</v>
      </c>
      <c r="D9" s="2" t="s">
        <v>107</v>
      </c>
      <c r="E9" s="2" t="s">
        <v>455</v>
      </c>
      <c r="F9" s="2" t="s">
        <v>456</v>
      </c>
      <c r="H9" s="2" t="s">
        <v>17</v>
      </c>
    </row>
    <row r="10" spans="1:8">
      <c r="A10" s="3">
        <v>1</v>
      </c>
      <c r="B10" s="3" t="s">
        <v>449</v>
      </c>
      <c r="C10" s="3">
        <v>66</v>
      </c>
      <c r="D10" s="3">
        <v>90</v>
      </c>
      <c r="E10" t="str">
        <f t="shared" ref="E10:E15" si="0">IF(AND(C10&gt;60, D10&gt;70), "Pass", "Fail")</f>
        <v>Pass</v>
      </c>
      <c r="F10" t="str">
        <f>IF(OR(C10&gt;60, D10&gt;70), "Pass", "Fail")</f>
        <v>Pass</v>
      </c>
      <c r="H10" s="10" t="s">
        <v>458</v>
      </c>
    </row>
    <row r="11" spans="1:8">
      <c r="A11" s="3">
        <v>2</v>
      </c>
      <c r="B11" s="3" t="s">
        <v>450</v>
      </c>
      <c r="C11" s="3">
        <v>88</v>
      </c>
      <c r="D11" s="3">
        <v>80</v>
      </c>
      <c r="E11" t="str">
        <f t="shared" si="0"/>
        <v>Pass</v>
      </c>
      <c r="F11" t="str">
        <f t="shared" ref="F11:F15" si="1">IF(OR(C11&gt;60, D11&gt;70), "Pass", "Fail")</f>
        <v>Pass</v>
      </c>
      <c r="H11" s="10" t="s">
        <v>457</v>
      </c>
    </row>
    <row r="12" spans="1:8">
      <c r="A12" s="3">
        <v>3</v>
      </c>
      <c r="B12" s="3" t="s">
        <v>451</v>
      </c>
      <c r="C12" s="3">
        <v>77</v>
      </c>
      <c r="D12" s="3">
        <v>70</v>
      </c>
      <c r="E12" t="str">
        <f t="shared" si="0"/>
        <v>Fail</v>
      </c>
      <c r="F12" t="str">
        <f t="shared" si="1"/>
        <v>Pass</v>
      </c>
    </row>
    <row r="13" spans="1:8">
      <c r="A13" s="3">
        <v>4</v>
      </c>
      <c r="B13" s="3" t="s">
        <v>452</v>
      </c>
      <c r="C13" s="3">
        <v>99</v>
      </c>
      <c r="D13" s="3">
        <v>60</v>
      </c>
      <c r="E13" t="str">
        <f t="shared" si="0"/>
        <v>Fail</v>
      </c>
      <c r="F13" t="str">
        <f t="shared" si="1"/>
        <v>Pass</v>
      </c>
    </row>
    <row r="14" spans="1:8">
      <c r="A14" s="3">
        <v>5</v>
      </c>
      <c r="B14" s="3" t="s">
        <v>453</v>
      </c>
      <c r="C14" s="3">
        <v>55</v>
      </c>
      <c r="D14" s="3">
        <v>50</v>
      </c>
      <c r="E14" t="str">
        <f t="shared" si="0"/>
        <v>Fail</v>
      </c>
      <c r="F14" t="str">
        <f t="shared" si="1"/>
        <v>Fail</v>
      </c>
    </row>
    <row r="15" spans="1:8">
      <c r="A15" s="3">
        <v>6</v>
      </c>
      <c r="B15" s="3" t="s">
        <v>454</v>
      </c>
      <c r="C15" s="3">
        <v>44</v>
      </c>
      <c r="D15" s="3">
        <v>40</v>
      </c>
      <c r="E15" t="str">
        <f t="shared" si="0"/>
        <v>Fail</v>
      </c>
      <c r="F15" t="str">
        <f t="shared" si="1"/>
        <v>Fail</v>
      </c>
    </row>
    <row r="19" spans="1:6">
      <c r="A19" s="1" t="s">
        <v>435</v>
      </c>
    </row>
    <row r="20" spans="1:6">
      <c r="A20" t="s">
        <v>436</v>
      </c>
    </row>
    <row r="21" spans="1:6">
      <c r="A21" t="s">
        <v>437</v>
      </c>
    </row>
    <row r="24" spans="1:6">
      <c r="A24" s="2" t="s">
        <v>134</v>
      </c>
      <c r="B24" s="2" t="s">
        <v>295</v>
      </c>
      <c r="C24" s="1" t="s">
        <v>439</v>
      </c>
      <c r="F24" s="2" t="s">
        <v>17</v>
      </c>
    </row>
    <row r="25" spans="1:6">
      <c r="A25" s="3" t="s">
        <v>137</v>
      </c>
      <c r="B25" s="3" t="s">
        <v>430</v>
      </c>
      <c r="C25" t="str" cm="1">
        <f t="array" ref="C25:D33">_xlfn._xlws.SORT(_xlfn.UNIQUE(A25:B33))</f>
        <v>Aarav Sharma</v>
      </c>
      <c r="D25" t="str">
        <v>Math</v>
      </c>
      <c r="F25" s="10" t="s">
        <v>440</v>
      </c>
    </row>
    <row r="26" spans="1:6">
      <c r="A26" s="3" t="s">
        <v>138</v>
      </c>
      <c r="B26" s="3" t="s">
        <v>431</v>
      </c>
      <c r="C26" t="str">
        <v>Bhavya Patil</v>
      </c>
      <c r="D26" t="str">
        <v>Science</v>
      </c>
    </row>
    <row r="27" spans="1:6">
      <c r="A27" s="3" t="s">
        <v>139</v>
      </c>
      <c r="B27" s="3" t="s">
        <v>430</v>
      </c>
      <c r="C27" t="str">
        <v>Chirag Deshmukh</v>
      </c>
      <c r="D27" t="str">
        <v>Math</v>
      </c>
    </row>
    <row r="28" spans="1:6">
      <c r="A28" s="3" t="s">
        <v>140</v>
      </c>
      <c r="B28" s="3" t="s">
        <v>432</v>
      </c>
      <c r="C28" t="str">
        <v>Divya Kulkarni</v>
      </c>
      <c r="D28" t="str">
        <v>English</v>
      </c>
    </row>
    <row r="29" spans="1:6">
      <c r="A29" s="3" t="s">
        <v>141</v>
      </c>
      <c r="B29" s="3" t="s">
        <v>431</v>
      </c>
      <c r="C29" t="str">
        <v>Esha More</v>
      </c>
      <c r="D29" t="str">
        <v>Science</v>
      </c>
    </row>
    <row r="30" spans="1:6">
      <c r="A30" s="3" t="s">
        <v>256</v>
      </c>
      <c r="B30" s="3" t="s">
        <v>430</v>
      </c>
      <c r="C30" t="str">
        <v>Faiz Khan</v>
      </c>
      <c r="D30" t="str">
        <v>Math</v>
      </c>
    </row>
    <row r="31" spans="1:6">
      <c r="A31" s="3" t="s">
        <v>438</v>
      </c>
      <c r="B31" s="3" t="s">
        <v>432</v>
      </c>
      <c r="C31" t="str">
        <v>Gayartri Desai</v>
      </c>
      <c r="D31" t="str">
        <v>English</v>
      </c>
    </row>
    <row r="32" spans="1:6">
      <c r="A32" s="3" t="s">
        <v>433</v>
      </c>
      <c r="B32" s="3" t="s">
        <v>431</v>
      </c>
      <c r="C32" t="str">
        <v>Harsh Patil</v>
      </c>
      <c r="D32" t="str">
        <v>Science</v>
      </c>
    </row>
    <row r="33" spans="1:4">
      <c r="A33" s="3" t="s">
        <v>434</v>
      </c>
      <c r="B33" s="3" t="s">
        <v>430</v>
      </c>
      <c r="C33" t="str">
        <v>Isha Sharma</v>
      </c>
      <c r="D33" t="str">
        <v>Math</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89966-D889-4475-83B0-59431EC253BA}">
  <sheetPr codeName="Sheet28"/>
  <dimension ref="A4:G30"/>
  <sheetViews>
    <sheetView topLeftCell="A17" workbookViewId="0">
      <selection activeCell="G26" sqref="G26"/>
    </sheetView>
  </sheetViews>
  <sheetFormatPr defaultRowHeight="14.4"/>
  <cols>
    <col min="1" max="1" width="11.6640625" customWidth="1"/>
    <col min="2" max="2" width="11.5546875" customWidth="1"/>
    <col min="3" max="3" width="12.5546875" customWidth="1"/>
    <col min="4" max="4" width="16.77734375" customWidth="1"/>
    <col min="5" max="5" width="12.33203125" customWidth="1"/>
    <col min="7" max="7" width="26.21875" customWidth="1"/>
  </cols>
  <sheetData>
    <row r="4" spans="1:1">
      <c r="A4" s="1" t="s">
        <v>460</v>
      </c>
    </row>
    <row r="7" spans="1:1">
      <c r="A7" s="1" t="s">
        <v>459</v>
      </c>
    </row>
    <row r="10" spans="1:1">
      <c r="A10">
        <v>101</v>
      </c>
    </row>
    <row r="13" spans="1:1">
      <c r="A13" t="s">
        <v>355</v>
      </c>
    </row>
    <row r="15" spans="1:1">
      <c r="A15" s="4" t="s">
        <v>461</v>
      </c>
    </row>
    <row r="16" spans="1:1">
      <c r="A16" s="4" t="s">
        <v>462</v>
      </c>
    </row>
    <row r="17" spans="1:7">
      <c r="A17" s="4" t="s">
        <v>463</v>
      </c>
    </row>
    <row r="18" spans="1:7">
      <c r="A18" s="4" t="s">
        <v>359</v>
      </c>
    </row>
    <row r="19" spans="1:7">
      <c r="A19" s="4" t="s">
        <v>464</v>
      </c>
    </row>
    <row r="20" spans="1:7">
      <c r="A20" s="4" t="s">
        <v>361</v>
      </c>
    </row>
    <row r="21" spans="1:7">
      <c r="A21" s="4" t="s">
        <v>362</v>
      </c>
    </row>
    <row r="25" spans="1:7">
      <c r="A25" s="1" t="s">
        <v>465</v>
      </c>
    </row>
    <row r="26" spans="1:7">
      <c r="G26" s="11" t="s">
        <v>29</v>
      </c>
    </row>
    <row r="27" spans="1:7">
      <c r="A27" s="2" t="s">
        <v>466</v>
      </c>
      <c r="B27" s="3" t="s">
        <v>468</v>
      </c>
      <c r="C27" s="3" t="s">
        <v>469</v>
      </c>
      <c r="D27" s="3" t="s">
        <v>470</v>
      </c>
      <c r="E27" s="3" t="s">
        <v>471</v>
      </c>
      <c r="G27" s="28" t="s">
        <v>55</v>
      </c>
    </row>
    <row r="28" spans="1:7">
      <c r="A28" s="2" t="s">
        <v>467</v>
      </c>
      <c r="B28" s="3">
        <v>350</v>
      </c>
      <c r="C28" s="3">
        <v>180</v>
      </c>
      <c r="D28" s="3">
        <v>220</v>
      </c>
      <c r="E28" s="3">
        <v>300</v>
      </c>
      <c r="G28" s="28" t="s">
        <v>472</v>
      </c>
    </row>
    <row r="29" spans="1:7">
      <c r="G29" s="28" t="s">
        <v>473</v>
      </c>
    </row>
    <row r="30" spans="1:7">
      <c r="G30" s="28" t="s">
        <v>474</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6278-D03F-4C63-91BA-F519E40BFBF7}">
  <dimension ref="A4:G41"/>
  <sheetViews>
    <sheetView topLeftCell="A19" workbookViewId="0">
      <selection activeCell="H18" sqref="H18"/>
    </sheetView>
  </sheetViews>
  <sheetFormatPr defaultRowHeight="14.4"/>
  <cols>
    <col min="1" max="1" width="19" customWidth="1"/>
    <col min="2" max="2" width="15.109375" bestFit="1" customWidth="1"/>
    <col min="3" max="3" width="11.77734375" bestFit="1" customWidth="1"/>
    <col min="6" max="6" width="42.21875" bestFit="1" customWidth="1"/>
  </cols>
  <sheetData>
    <row r="4" spans="1:7">
      <c r="A4" s="1" t="s">
        <v>475</v>
      </c>
    </row>
    <row r="7" spans="1:7">
      <c r="A7" s="1" t="s">
        <v>476</v>
      </c>
    </row>
    <row r="8" spans="1:7">
      <c r="A8" t="s">
        <v>477</v>
      </c>
    </row>
    <row r="9" spans="1:7">
      <c r="A9" t="s">
        <v>478</v>
      </c>
      <c r="G9" t="s">
        <v>484</v>
      </c>
    </row>
    <row r="10" spans="1:7">
      <c r="A10" t="s">
        <v>479</v>
      </c>
    </row>
    <row r="11" spans="1:7">
      <c r="A11" t="s">
        <v>480</v>
      </c>
    </row>
    <row r="12" spans="1:7">
      <c r="A12" t="s">
        <v>481</v>
      </c>
    </row>
    <row r="14" spans="1:7" ht="18">
      <c r="A14" s="30" t="s">
        <v>482</v>
      </c>
      <c r="B14" s="30" t="s">
        <v>483</v>
      </c>
      <c r="C14" s="30" t="s">
        <v>136</v>
      </c>
    </row>
    <row r="15" spans="1:7" ht="18">
      <c r="A15" s="29" t="s">
        <v>137</v>
      </c>
      <c r="B15" s="29">
        <v>18</v>
      </c>
      <c r="C15" s="29">
        <v>20</v>
      </c>
    </row>
    <row r="16" spans="1:7" ht="18">
      <c r="A16" s="29" t="s">
        <v>138</v>
      </c>
      <c r="B16" s="29">
        <v>16</v>
      </c>
      <c r="C16" s="29">
        <v>20</v>
      </c>
    </row>
    <row r="17" spans="1:6" ht="18">
      <c r="A17" s="29" t="s">
        <v>139</v>
      </c>
      <c r="B17" s="29">
        <v>12</v>
      </c>
      <c r="C17" s="29">
        <v>20</v>
      </c>
    </row>
    <row r="18" spans="1:6" ht="18">
      <c r="A18" s="29" t="s">
        <v>140</v>
      </c>
      <c r="B18" s="29">
        <v>20</v>
      </c>
      <c r="C18" s="29">
        <v>20</v>
      </c>
    </row>
    <row r="19" spans="1:6" ht="18">
      <c r="A19" s="29" t="s">
        <v>141</v>
      </c>
      <c r="B19" s="29">
        <v>15</v>
      </c>
      <c r="C19" s="29">
        <v>20</v>
      </c>
    </row>
    <row r="24" spans="1:6">
      <c r="A24" s="1" t="s">
        <v>485</v>
      </c>
    </row>
    <row r="25" spans="1:6">
      <c r="A25" t="s">
        <v>486</v>
      </c>
    </row>
    <row r="26" spans="1:6">
      <c r="A26" t="s">
        <v>487</v>
      </c>
    </row>
    <row r="27" spans="1:6">
      <c r="A27" t="s">
        <v>488</v>
      </c>
    </row>
    <row r="28" spans="1:6">
      <c r="A28" t="s">
        <v>489</v>
      </c>
    </row>
    <row r="30" spans="1:6">
      <c r="A30" s="2" t="s">
        <v>490</v>
      </c>
      <c r="B30" s="2" t="s">
        <v>491</v>
      </c>
      <c r="C30" t="s">
        <v>492</v>
      </c>
      <c r="F30" s="14" t="s">
        <v>17</v>
      </c>
    </row>
    <row r="31" spans="1:6">
      <c r="A31" s="3">
        <v>12</v>
      </c>
      <c r="B31" s="3">
        <v>51</v>
      </c>
      <c r="C31" cm="1">
        <f t="array" ref="C31:C33">A31:A33 * B31:B33</f>
        <v>612</v>
      </c>
      <c r="F31" s="10" t="s">
        <v>493</v>
      </c>
    </row>
    <row r="32" spans="1:6">
      <c r="A32" s="3">
        <v>21</v>
      </c>
      <c r="B32" s="3">
        <v>67</v>
      </c>
      <c r="C32">
        <v>1407</v>
      </c>
      <c r="F32" s="10" t="s">
        <v>494</v>
      </c>
    </row>
    <row r="33" spans="1:3">
      <c r="A33" s="3">
        <v>24</v>
      </c>
      <c r="B33" s="3">
        <v>23</v>
      </c>
      <c r="C33">
        <v>552</v>
      </c>
    </row>
    <row r="37" spans="1:3">
      <c r="A37" s="3">
        <v>5</v>
      </c>
      <c r="B37" cm="1">
        <f t="array" ref="B37">SUM(IF(A37:A41 &gt; 10, A37:A41))</f>
        <v>47</v>
      </c>
    </row>
    <row r="38" spans="1:3">
      <c r="A38" s="3">
        <v>12</v>
      </c>
    </row>
    <row r="39" spans="1:3">
      <c r="A39" s="3">
        <v>8</v>
      </c>
    </row>
    <row r="40" spans="1:3">
      <c r="A40" s="3">
        <v>20</v>
      </c>
    </row>
    <row r="41" spans="1:3">
      <c r="A41" s="3">
        <v>15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7DFC-64BC-452F-841D-2367CD9C0F58}">
  <dimension ref="A4:F30"/>
  <sheetViews>
    <sheetView workbookViewId="0">
      <selection activeCell="C5" sqref="C5"/>
    </sheetView>
  </sheetViews>
  <sheetFormatPr defaultRowHeight="14.4"/>
  <cols>
    <col min="2" max="2" width="9.44140625" bestFit="1" customWidth="1"/>
    <col min="3" max="3" width="13.5546875" bestFit="1" customWidth="1"/>
    <col min="5" max="5" width="14.5546875" bestFit="1" customWidth="1"/>
    <col min="6" max="6" width="18.33203125" bestFit="1" customWidth="1"/>
  </cols>
  <sheetData>
    <row r="4" spans="1:6">
      <c r="A4" s="1" t="s">
        <v>495</v>
      </c>
    </row>
    <row r="7" spans="1:6">
      <c r="A7" s="1" t="s">
        <v>496</v>
      </c>
    </row>
    <row r="8" spans="1:6">
      <c r="A8" t="s">
        <v>314</v>
      </c>
    </row>
    <row r="9" spans="1:6">
      <c r="A9" t="s">
        <v>497</v>
      </c>
    </row>
    <row r="10" spans="1:6">
      <c r="A10" t="s">
        <v>498</v>
      </c>
    </row>
    <row r="12" spans="1:6">
      <c r="A12" t="s">
        <v>105</v>
      </c>
      <c r="B12" t="s">
        <v>504</v>
      </c>
      <c r="C12" t="s">
        <v>505</v>
      </c>
      <c r="E12" s="1" t="s">
        <v>17</v>
      </c>
      <c r="F12" s="1" t="s">
        <v>17</v>
      </c>
    </row>
    <row r="13" spans="1:6">
      <c r="A13" t="s">
        <v>503</v>
      </c>
      <c r="B13">
        <f>LEN(A13)</f>
        <v>7</v>
      </c>
      <c r="C13" t="str">
        <f>LEFT(A13,3)</f>
        <v>Gau</v>
      </c>
      <c r="E13" s="4" t="s">
        <v>506</v>
      </c>
      <c r="F13" s="4" t="s">
        <v>511</v>
      </c>
    </row>
    <row r="14" spans="1:6">
      <c r="A14" t="s">
        <v>499</v>
      </c>
      <c r="B14">
        <f t="shared" ref="B14:B17" si="0">LEN(A14)</f>
        <v>6</v>
      </c>
      <c r="C14" t="str">
        <f t="shared" ref="C14:C17" si="1">LEFT(A14,3)</f>
        <v>Ved</v>
      </c>
      <c r="E14" s="4" t="s">
        <v>507</v>
      </c>
      <c r="F14" s="4" t="s">
        <v>512</v>
      </c>
    </row>
    <row r="15" spans="1:6">
      <c r="A15" t="s">
        <v>500</v>
      </c>
      <c r="B15">
        <f t="shared" si="0"/>
        <v>7</v>
      </c>
      <c r="C15" t="str">
        <f t="shared" si="1"/>
        <v>Yad</v>
      </c>
      <c r="E15" s="4" t="s">
        <v>508</v>
      </c>
      <c r="F15" s="4" t="s">
        <v>513</v>
      </c>
    </row>
    <row r="16" spans="1:6">
      <c r="A16" t="s">
        <v>501</v>
      </c>
      <c r="B16">
        <f t="shared" si="0"/>
        <v>4</v>
      </c>
      <c r="C16" t="str">
        <f t="shared" si="1"/>
        <v>Ama</v>
      </c>
      <c r="E16" s="4" t="s">
        <v>509</v>
      </c>
      <c r="F16" s="4" t="s">
        <v>514</v>
      </c>
    </row>
    <row r="17" spans="1:6">
      <c r="A17" t="s">
        <v>502</v>
      </c>
      <c r="B17">
        <f t="shared" si="0"/>
        <v>7</v>
      </c>
      <c r="C17" t="str">
        <f t="shared" si="1"/>
        <v>Har</v>
      </c>
      <c r="E17" s="4" t="s">
        <v>510</v>
      </c>
      <c r="F17" s="4" t="s">
        <v>515</v>
      </c>
    </row>
    <row r="21" spans="1:6">
      <c r="A21" s="1" t="s">
        <v>516</v>
      </c>
    </row>
    <row r="22" spans="1:6">
      <c r="A22" t="s">
        <v>517</v>
      </c>
    </row>
    <row r="23" spans="1:6">
      <c r="A23" t="s">
        <v>327</v>
      </c>
    </row>
    <row r="24" spans="1:6">
      <c r="A24" t="s">
        <v>328</v>
      </c>
    </row>
    <row r="25" spans="1:6">
      <c r="A25" t="s">
        <v>329</v>
      </c>
    </row>
    <row r="27" spans="1:6">
      <c r="A27" s="2" t="s">
        <v>330</v>
      </c>
      <c r="B27" s="2" t="s">
        <v>331</v>
      </c>
      <c r="C27" s="2" t="s">
        <v>332</v>
      </c>
      <c r="E27" s="14" t="s">
        <v>17</v>
      </c>
    </row>
    <row r="28" spans="1:6">
      <c r="A28" s="3">
        <v>9</v>
      </c>
      <c r="B28" s="3">
        <v>6</v>
      </c>
      <c r="C28" s="3">
        <f>A28 * B28</f>
        <v>54</v>
      </c>
      <c r="E28" s="10" t="s">
        <v>518</v>
      </c>
    </row>
    <row r="29" spans="1:6">
      <c r="A29" s="3">
        <v>8</v>
      </c>
      <c r="B29" s="3">
        <v>5</v>
      </c>
      <c r="C29" s="3">
        <f t="array" ref="C29">A29 * B29</f>
        <v>40</v>
      </c>
      <c r="E29" s="10" t="s">
        <v>519</v>
      </c>
    </row>
    <row r="30" spans="1:6">
      <c r="A30" s="3">
        <v>7</v>
      </c>
      <c r="B30" s="3">
        <v>4</v>
      </c>
      <c r="C30" s="3">
        <f t="array" ref="C30">A30 * B30</f>
        <v>28</v>
      </c>
      <c r="E30" s="10"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Slip 1</vt:lpstr>
      <vt:lpstr>Slip 2</vt:lpstr>
      <vt:lpstr>Slip 3</vt:lpstr>
      <vt:lpstr>Slip 4</vt:lpstr>
      <vt:lpstr>Slip 5</vt:lpstr>
      <vt:lpstr>Slip 6</vt:lpstr>
      <vt:lpstr>Slip 7</vt:lpstr>
      <vt:lpstr>Slip 8</vt:lpstr>
      <vt:lpstr>Slip 9</vt:lpstr>
      <vt:lpstr>Slip 10</vt:lpstr>
      <vt:lpstr>Slip 11</vt:lpstr>
      <vt:lpstr>Slip 12</vt:lpstr>
      <vt:lpstr>Slip 13</vt:lpstr>
      <vt:lpstr>Slip 14</vt:lpstr>
      <vt:lpstr>Slip 15</vt:lpstr>
      <vt:lpstr>Slip 16</vt:lpstr>
      <vt:lpstr>Slip 17</vt:lpstr>
      <vt:lpstr>Slip 18</vt:lpstr>
      <vt:lpstr>Slip 19</vt:lpstr>
      <vt:lpstr>Slip 20</vt:lpstr>
      <vt:lpstr>Slip 21</vt:lpstr>
      <vt:lpstr>Slip 22</vt:lpstr>
      <vt:lpstr>Slip 23</vt:lpstr>
      <vt:lpstr>Slip 24</vt:lpstr>
      <vt:lpstr>Slip 25</vt:lpstr>
      <vt:lpstr>Slip 26</vt:lpstr>
      <vt:lpstr>Slip 27</vt:lpstr>
      <vt:lpstr>Slip 28</vt:lpstr>
      <vt:lpstr>Slip 29</vt:lpstr>
      <vt:lpstr>Slip 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Gaurang Dalal</dc:creator>
  <cp:lastModifiedBy>Gaurang Dalal</cp:lastModifiedBy>
  <cp:lastPrinted>2026-04-01T14:38:01Z</cp:lastPrinted>
  <dcterms:created xsi:type="dcterms:W3CDTF">2026-03-25T14:04:02Z</dcterms:created>
  <dcterms:modified xsi:type="dcterms:W3CDTF">2026-04-01T14:42:20Z</dcterms:modified>
</cp:coreProperties>
</file>